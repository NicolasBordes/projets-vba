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AE0C1C75-4098-43A7-A363-0310645FFFD7}" xr6:coauthVersionLast="47" xr6:coauthVersionMax="47" xr10:uidLastSave="{00000000-0000-0000-0000-000000000000}"/>
  <bookViews>
    <workbookView showVerticalScroll="0" xWindow="-120" yWindow="-120" windowWidth="25440" windowHeight="15390" tabRatio="661" activeTab="9" xr2:uid="{839F7C3F-2BF5-4F5C-8B1D-E768BD042F55}"/>
  </bookViews>
  <sheets>
    <sheet name="data" sheetId="3" r:id="rId1"/>
    <sheet name="Pieces" sheetId="5" r:id="rId2"/>
    <sheet name="salaries" sheetId="12" r:id="rId3"/>
    <sheet name="Lieux" sheetId="13" r:id="rId4"/>
    <sheet name="Lieux (2)" sheetId="14" r:id="rId5"/>
    <sheet name="regulartest" sheetId="7" r:id="rId6"/>
    <sheet name="sommaire" sheetId="8" r:id="rId7"/>
    <sheet name="color" sheetId="11" r:id="rId8"/>
    <sheet name="dashboard" sheetId="15" r:id="rId9"/>
    <sheet name="nav" sheetId="17" r:id="rId10"/>
    <sheet name="BD" sheetId="16" r:id="rId11"/>
  </sheets>
  <functionGroups builtInGroupCount="19"/>
  <definedNames>
    <definedName name="adresseNameTable" localSheetId="3">Lieux!$L$2</definedName>
    <definedName name="adresseNameTable" localSheetId="4">'Lieux (2)'!$L$2</definedName>
    <definedName name="adresseNameTable" localSheetId="9">nav!$M$2</definedName>
    <definedName name="adresseNameTable" localSheetId="2">salaries!$L$2</definedName>
    <definedName name="adresseNameTable">Pieces!$L$2</definedName>
    <definedName name="ListeNom">COUNTA(#REF!)</definedName>
    <definedName name="ProfessionsPositionTableVisible">#REF!</definedName>
    <definedName name="salAjoutEmail">#REF!</definedName>
    <definedName name="salAjoutMatricule">#REF!</definedName>
    <definedName name="salAjoutNom">#REF!</definedName>
    <definedName name="salAjoutPrenom">#REF!</definedName>
    <definedName name="SalariesModifierNomRecherche">#REF!</definedName>
    <definedName name="salModifierEmail">#REF!</definedName>
    <definedName name="salModifierID">#REF!</definedName>
    <definedName name="salModifierMatricule">#REF!</definedName>
    <definedName name="salModifierNom">#REF!</definedName>
    <definedName name="salModifierNomRecherche">#REF!</definedName>
    <definedName name="salModifierPrenom">#REF!</definedName>
    <definedName name="salPositionTableau">#REF!</definedName>
    <definedName name="SalSupprimerNom">#REF!</definedName>
    <definedName name="startAddNewRecord" localSheetId="3">Lieux!$C$9</definedName>
    <definedName name="startAddNewRecord" localSheetId="4">'Lieux (2)'!$C$9</definedName>
    <definedName name="startAddNewRecord" localSheetId="9">nav!$D$9</definedName>
    <definedName name="startAddNewRecord" localSheetId="2">salaries!$C$9</definedName>
    <definedName name="startAddNewRecord">Pieces!$C$9</definedName>
    <definedName name="startBD">dashboard!$A$11</definedName>
    <definedName name="startDeleteOnRecord" localSheetId="3">Lieux!$B$13</definedName>
    <definedName name="startDeleteOnRecord" localSheetId="4">'Lieux (2)'!$B$13</definedName>
    <definedName name="startDeleteOnRecord" localSheetId="9">nav!$C$13</definedName>
    <definedName name="startDeleteOnRecord" localSheetId="2">salaries!$B$13</definedName>
    <definedName name="startDeleteOnRecord">Pieces!$B$13</definedName>
    <definedName name="startFieldToSearch" localSheetId="3">Lieux!$F$6</definedName>
    <definedName name="startFieldToSearch" localSheetId="4">'Lieux (2)'!$F$6</definedName>
    <definedName name="startFieldToSearch" localSheetId="9">nav!$G$6</definedName>
    <definedName name="startFieldToSearch" localSheetId="2">salaries!$F$6</definedName>
    <definedName name="startFieldToSearch">Pieces!$F$6</definedName>
    <definedName name="startHideBD">BD!$A$2</definedName>
    <definedName name="startMatriceBD">dashboard!$B$4</definedName>
    <definedName name="StartNomFeuille">dashboard!$B$7</definedName>
    <definedName name="startShowOnRecord" localSheetId="3">Lieux!$B$3</definedName>
    <definedName name="startShowOnRecord" localSheetId="4">'Lieux (2)'!$B$3</definedName>
    <definedName name="startShowOnRecord" localSheetId="9">nav!$C$3</definedName>
    <definedName name="startShowOnRecord" localSheetId="1">Pieces!$B$3</definedName>
    <definedName name="startShowOnRecord" localSheetId="2">salaries!$B$3</definedName>
    <definedName name="startTableInvisible" localSheetId="3">Lieux!$K$15</definedName>
    <definedName name="startTableInvisible" localSheetId="4">'Lieux (2)'!$K$15</definedName>
    <definedName name="startTableInvisible" localSheetId="9">nav!$L$15</definedName>
    <definedName name="startTableInvisible" localSheetId="2">salaries!$K$15</definedName>
    <definedName name="startTableInvisible">Pieces!$K$15</definedName>
    <definedName name="startTableVisible" localSheetId="3">Lieux!$C$20</definedName>
    <definedName name="startTableVisible" localSheetId="4">'Lieux (2)'!$C$20</definedName>
    <definedName name="startTableVisible" localSheetId="9">nav!$D$20</definedName>
    <definedName name="startTableVisible" localSheetId="2">salaries!$C$20</definedName>
    <definedName name="startTableVisible">Pieces!$C$20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15" l="1" a="1"/>
  <c r="X17" i="15" s="1"/>
  <c r="S17" i="15" a="1"/>
  <c r="S17" i="15" s="1"/>
  <c r="U17" i="15" a="1"/>
  <c r="U17" i="15" s="1"/>
  <c r="B3" i="15" a="1"/>
  <c r="B3" i="15" s="1"/>
  <c r="B4" i="15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12" i="15"/>
  <c r="J48" i="15" l="1"/>
  <c r="J40" i="15"/>
  <c r="J32" i="15"/>
  <c r="J24" i="15"/>
  <c r="J16" i="15"/>
  <c r="J47" i="15"/>
  <c r="J39" i="15"/>
  <c r="J27" i="15"/>
  <c r="J14" i="15"/>
  <c r="J44" i="15"/>
  <c r="J36" i="15"/>
  <c r="J28" i="15"/>
  <c r="J20" i="15"/>
  <c r="J12" i="15"/>
  <c r="J43" i="15"/>
  <c r="J35" i="15"/>
  <c r="J31" i="15"/>
  <c r="J23" i="15"/>
  <c r="J19" i="15"/>
  <c r="I15" i="15"/>
  <c r="J15" i="15"/>
  <c r="I48" i="15"/>
  <c r="I44" i="15"/>
  <c r="I40" i="15"/>
  <c r="I36" i="15"/>
  <c r="I32" i="15"/>
  <c r="I28" i="15"/>
  <c r="I24" i="15"/>
  <c r="I20" i="15"/>
  <c r="I16" i="15"/>
  <c r="I12" i="15"/>
  <c r="I47" i="15"/>
  <c r="I43" i="15"/>
  <c r="I39" i="15"/>
  <c r="I35" i="15"/>
  <c r="I31" i="15"/>
  <c r="I27" i="15"/>
  <c r="I23" i="15"/>
  <c r="I19" i="15"/>
  <c r="I50" i="15"/>
  <c r="I46" i="15"/>
  <c r="I42" i="15"/>
  <c r="I38" i="15"/>
  <c r="I34" i="15"/>
  <c r="I30" i="15"/>
  <c r="I26" i="15"/>
  <c r="I22" i="15"/>
  <c r="I18" i="15"/>
  <c r="I14" i="15"/>
  <c r="J50" i="15"/>
  <c r="J46" i="15"/>
  <c r="J42" i="15"/>
  <c r="J38" i="15"/>
  <c r="J34" i="15"/>
  <c r="J30" i="15"/>
  <c r="J26" i="15"/>
  <c r="J22" i="15"/>
  <c r="J18" i="15"/>
  <c r="I49" i="15"/>
  <c r="I45" i="15"/>
  <c r="I41" i="15"/>
  <c r="I37" i="15"/>
  <c r="I33" i="15"/>
  <c r="I29" i="15"/>
  <c r="I25" i="15"/>
  <c r="I21" i="15"/>
  <c r="I17" i="15"/>
  <c r="I13" i="15"/>
  <c r="J49" i="15"/>
  <c r="J45" i="15"/>
  <c r="J41" i="15"/>
  <c r="J37" i="15"/>
  <c r="J33" i="15"/>
  <c r="J29" i="15"/>
  <c r="J25" i="15"/>
  <c r="J21" i="15"/>
  <c r="J17" i="15"/>
  <c r="J13" i="15"/>
  <c r="G4" i="15"/>
  <c r="F5" i="15" s="1"/>
  <c r="F4" i="15"/>
  <c r="E5" i="15" s="1"/>
  <c r="C4" i="15"/>
  <c r="B5" i="15" s="1"/>
  <c r="J4" i="15" s="1" a="1"/>
  <c r="J4" i="15" s="1"/>
  <c r="I5" i="15" s="1"/>
  <c r="I4" i="15"/>
  <c r="H5" i="15" s="1"/>
  <c r="E4" i="15"/>
  <c r="D5" i="15" s="1"/>
  <c r="H4" i="15"/>
  <c r="G5" i="15" s="1"/>
  <c r="D4" i="15"/>
  <c r="C5" i="15" s="1"/>
  <c r="R17" i="15" l="1" a="1"/>
  <c r="R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<sst xmlns="http://schemas.openxmlformats.org/spreadsheetml/2006/main" count="856" uniqueCount="274">
  <si>
    <t>Nom</t>
  </si>
  <si>
    <t>SalarieID</t>
  </si>
  <si>
    <t>Matricule</t>
  </si>
  <si>
    <t>Prenom</t>
  </si>
  <si>
    <t>Email</t>
  </si>
  <si>
    <t>krn</t>
  </si>
  <si>
    <t>KRIEFF</t>
  </si>
  <si>
    <t>natacha_krief@hotmail.fr</t>
  </si>
  <si>
    <t>pag</t>
  </si>
  <si>
    <t>palisse.geoffrey@gmail.fr</t>
  </si>
  <si>
    <t>christophe.gauzeran@wanadoo.fr</t>
  </si>
  <si>
    <t>GAUZERAN</t>
  </si>
  <si>
    <t>[A-zÀ-ù]{5}</t>
  </si>
  <si>
    <t>pour intégrer des accents</t>
  </si>
  <si>
    <t>^[1-9]+[0-9]*$</t>
  </si>
  <si>
    <t>pour n'avoir que des nombres entiers positifs</t>
  </si>
  <si>
    <t>^\d{2}$</t>
  </si>
  <si>
    <t>pour n'avoir qu'un nombre positif entier composé de 2 chiffres</t>
  </si>
  <si>
    <t>^[a-zA-Z]+$</t>
  </si>
  <si>
    <t>que des lettres (sans espace ni aucun autre caractères)</t>
  </si>
  <si>
    <t>^[+-]?([0-9]+\.?[0-9]*|\.[0-9]+)$</t>
  </si>
  <si>
    <t>^[+-]?([0-9]+,?[0-9]*|,[0-9]+)$</t>
  </si>
  <si>
    <t>chiffres avec ou sans virgule et négatif ou positif</t>
  </si>
  <si>
    <t>chiffres avec ou sans point et négatif ou positif (forme anglosaxone)</t>
  </si>
  <si>
    <t>PieceID</t>
  </si>
  <si>
    <t>Titre</t>
  </si>
  <si>
    <t>Metteur en Scène</t>
  </si>
  <si>
    <t>Auteur</t>
  </si>
  <si>
    <t>Aladin</t>
  </si>
  <si>
    <t>Jean Philippe Daguerre</t>
  </si>
  <si>
    <t>Igor de Chaillé</t>
  </si>
  <si>
    <t>bli bli bli bla bla</t>
  </si>
  <si>
    <t>Pinocchio</t>
  </si>
  <si>
    <t>Guillaume Bouchède</t>
  </si>
  <si>
    <t>bli bli bli bla bla blo blu</t>
  </si>
  <si>
    <t>résumer</t>
  </si>
  <si>
    <t>table non visible</t>
  </si>
  <si>
    <t>zzz</t>
  </si>
  <si>
    <t>tintin</t>
  </si>
  <si>
    <t>Jean sol parte</t>
  </si>
  <si>
    <t>dddddRep_0ddddd9P2019.csv</t>
  </si>
  <si>
    <t>rêéèëveriedddd</t>
  </si>
  <si>
    <t>^[A-zÀ-ù]+$</t>
  </si>
  <si>
    <t>que des lettres accentuées ou pas (sans espace ni aucun autre caractères)</t>
  </si>
  <si>
    <t>dReport01F2019dddddd.csv</t>
  </si>
  <si>
    <t>Report_JC_09C2019 version.2019</t>
  </si>
  <si>
    <t xml:space="preserve">2019dd d </t>
  </si>
  <si>
    <t>^[^\s][A-zÀ-ù]+</t>
  </si>
  <si>
    <t>pas d'espace pour le premier caractère, puis après, lettre accentuées</t>
  </si>
  <si>
    <t>Report_Summary01C2019ddddd.csv</t>
  </si>
  <si>
    <t>^[^\s|\*][A-zÀ-ù]+</t>
  </si>
  <si>
    <t>pas d'espace ni de * pour le premier caractère, puis après, lettre accentuées</t>
  </si>
  <si>
    <t>lettre et lettres accentuées et espace d'au moins 2 caractères</t>
  </si>
  <si>
    <t>^[^\s][A-zÀ-ù \s]{1,}</t>
  </si>
  <si>
    <t>[A-zÀ-ù \s]{1,}</t>
  </si>
  <si>
    <t>pas d'espace pour le premier caractère, puis après, lettre accentuées pour au moins 2 caractère</t>
  </si>
  <si>
    <t>^[^\s][A-zÀ-ù \s]{1,20}$</t>
  </si>
  <si>
    <t>pas d'espace pour le premier caractère, puis après, lettre accentuées pour au moins 2 caractère et moins de 20 caractères</t>
  </si>
  <si>
    <t>^[^\s][1-9]{1,4}$</t>
  </si>
  <si>
    <t>^[^\s^\-][1-9]{1,4}$</t>
  </si>
  <si>
    <t>pas d'espace pour le premier caractère, puis après, nombre positif de 1 à 4 chiffre</t>
  </si>
  <si>
    <t>pas d'espace pour le premier caractère, puis après, nombre positif ou négatif de 1 à 4 chiffre</t>
  </si>
  <si>
    <t>pas d'espace pour le premier caractère, puis après, nombre positif ou négatif de 2 à 4 chiffre</t>
  </si>
  <si>
    <t>pas d'espace pour le premier caractère, puis après, nombre positif de 2 à 4 chiffre</t>
  </si>
  <si>
    <t>^[^\s][1-9]{0,4}$</t>
  </si>
  <si>
    <t>^[^\s^\-\D][1-9]{0,4}$</t>
  </si>
  <si>
    <t>^[1-9]{0,4}$</t>
  </si>
  <si>
    <t>!!!</t>
  </si>
  <si>
    <t>^[\-\d][1-9]{0,4}$</t>
  </si>
  <si>
    <t>nombre positif ou négatif de 1 à 5 (4 +1) chiffres (sans caractères speciaux ou autre nulle part)</t>
  </si>
  <si>
    <t>nombre positif de 1 à 5 (1 + 4) chiffres (sans caractères speciaux ou autre nulle part)</t>
  </si>
  <si>
    <t>^[A-zÀ-ù][A-zÀ-ù\s]{0,8}$</t>
  </si>
  <si>
    <t>pas d'espace au début puis 1 ou 9 (ie 1 + 8) lettres après  (et aucun caractères speciaux au début ni après mais espace après possible)</t>
  </si>
  <si>
    <t>idem</t>
  </si>
  <si>
    <t>^[\-]?[1-9]{0,4}$</t>
  </si>
  <si>
    <t>528,00</t>
  </si>
  <si>
    <t>Pieces</t>
  </si>
  <si>
    <t>titre</t>
  </si>
  <si>
    <t>Vert.</t>
  </si>
  <si>
    <t>horz.</t>
  </si>
  <si>
    <t>trait</t>
  </si>
  <si>
    <t>RH</t>
  </si>
  <si>
    <t>Planning</t>
  </si>
  <si>
    <t>création</t>
  </si>
  <si>
    <t>gestion</t>
  </si>
  <si>
    <t>édition</t>
  </si>
  <si>
    <t>suppression</t>
  </si>
  <si>
    <t>rapports</t>
  </si>
  <si>
    <t>copies</t>
  </si>
  <si>
    <t>exports</t>
  </si>
  <si>
    <t>imports</t>
  </si>
  <si>
    <t>tous les champs</t>
  </si>
  <si>
    <t>champs visibles</t>
  </si>
  <si>
    <t>MetteurEnScene</t>
  </si>
  <si>
    <t>resumer</t>
  </si>
  <si>
    <t>Salaries</t>
  </si>
  <si>
    <t>ee</t>
  </si>
  <si>
    <t>champs recherche</t>
  </si>
  <si>
    <t>coco</t>
  </si>
  <si>
    <t>fg</t>
  </si>
  <si>
    <t>COCO</t>
  </si>
  <si>
    <t>dsssdsds</t>
  </si>
  <si>
    <t>Cells().Interior.ColorIndex</t>
  </si>
  <si>
    <t>Champs dysplay</t>
  </si>
  <si>
    <t>Prénom</t>
  </si>
  <si>
    <t>LieuID</t>
  </si>
  <si>
    <t>adresse</t>
  </si>
  <si>
    <t>CP</t>
  </si>
  <si>
    <t>Ville</t>
  </si>
  <si>
    <t>Nom du lieu</t>
  </si>
  <si>
    <t>Lieux</t>
  </si>
  <si>
    <t>Théâtre des Variétés</t>
  </si>
  <si>
    <t>7 bd Montmartre</t>
  </si>
  <si>
    <t>75002</t>
  </si>
  <si>
    <t>MCDOR</t>
  </si>
  <si>
    <t>Nicolas Nebout</t>
  </si>
  <si>
    <t>bli bli bli bla blo</t>
  </si>
  <si>
    <t>Zorro</t>
  </si>
  <si>
    <t>JP Daguerre</t>
  </si>
  <si>
    <t>Igor</t>
  </si>
  <si>
    <t>blo</t>
  </si>
  <si>
    <t>Le Avare</t>
  </si>
  <si>
    <t>Daniel Benoin</t>
  </si>
  <si>
    <t>Molière</t>
  </si>
  <si>
    <t>le Néant</t>
  </si>
  <si>
    <t>le Néant 2</t>
  </si>
  <si>
    <t>le fleuve</t>
  </si>
  <si>
    <t>jojo</t>
  </si>
  <si>
    <t>jiji</t>
  </si>
  <si>
    <t>sdssdd</t>
  </si>
  <si>
    <t>Alice</t>
  </si>
  <si>
    <t>IDC</t>
  </si>
  <si>
    <t>ssdsdsd</t>
  </si>
  <si>
    <t>titre1</t>
  </si>
  <si>
    <t>MES1</t>
  </si>
  <si>
    <t>Auteur1</t>
  </si>
  <si>
    <t>resumer1</t>
  </si>
  <si>
    <t>titre2</t>
  </si>
  <si>
    <t>MES2</t>
  </si>
  <si>
    <t>Auteur2</t>
  </si>
  <si>
    <t>resumer2</t>
  </si>
  <si>
    <t>titre3</t>
  </si>
  <si>
    <t>MES3</t>
  </si>
  <si>
    <t>Auteur3</t>
  </si>
  <si>
    <t>resumer3</t>
  </si>
  <si>
    <t>titre4</t>
  </si>
  <si>
    <t>MES4</t>
  </si>
  <si>
    <t>Auteur4</t>
  </si>
  <si>
    <t>resumer4</t>
  </si>
  <si>
    <t>titre5</t>
  </si>
  <si>
    <t>MES5</t>
  </si>
  <si>
    <t>Auteur5</t>
  </si>
  <si>
    <t>resumer5</t>
  </si>
  <si>
    <t>titre6</t>
  </si>
  <si>
    <t>MES6</t>
  </si>
  <si>
    <t>Auteur6</t>
  </si>
  <si>
    <t>resumer6</t>
  </si>
  <si>
    <t>titre7</t>
  </si>
  <si>
    <t>MES7</t>
  </si>
  <si>
    <t>Auteur7</t>
  </si>
  <si>
    <t>resumer7</t>
  </si>
  <si>
    <t>titre8</t>
  </si>
  <si>
    <t>MES8</t>
  </si>
  <si>
    <t>Auteur8</t>
  </si>
  <si>
    <t>resumer8</t>
  </si>
  <si>
    <t>Spectacles</t>
  </si>
  <si>
    <t>SpectacleID</t>
  </si>
  <si>
    <t>TitreLong</t>
  </si>
  <si>
    <t>TitreCourt</t>
  </si>
  <si>
    <t>Titre long</t>
  </si>
  <si>
    <t>Titre court</t>
  </si>
  <si>
    <t>Pièce</t>
  </si>
  <si>
    <t>Aladin Lieux fixe</t>
  </si>
  <si>
    <t>AladinLF</t>
  </si>
  <si>
    <t>Pinocchio Lieux Fixe</t>
  </si>
  <si>
    <t>PinocchioLF</t>
  </si>
  <si>
    <t>Pinocchio en tournée</t>
  </si>
  <si>
    <t>PinocchioT</t>
  </si>
  <si>
    <t>DistributionsArtistiques</t>
  </si>
  <si>
    <t>DistributionsTechniques</t>
  </si>
  <si>
    <t>Professions</t>
  </si>
  <si>
    <t>Roles</t>
  </si>
  <si>
    <t>DistributionArtID</t>
  </si>
  <si>
    <t>ProfessionID</t>
  </si>
  <si>
    <t>RoleID</t>
  </si>
  <si>
    <t>Cachet</t>
  </si>
  <si>
    <t>SpectaclesID</t>
  </si>
  <si>
    <t>Ordre</t>
  </si>
  <si>
    <t>DistributionTechID</t>
  </si>
  <si>
    <t>NbHre</t>
  </si>
  <si>
    <t>TauxHoraire</t>
  </si>
  <si>
    <t>Intitule</t>
  </si>
  <si>
    <t>Cadre</t>
  </si>
  <si>
    <t>artiste</t>
  </si>
  <si>
    <t>NomRole</t>
  </si>
  <si>
    <t>profession</t>
  </si>
  <si>
    <t>rôle</t>
  </si>
  <si>
    <t>cachet</t>
  </si>
  <si>
    <t>ordre</t>
  </si>
  <si>
    <t>nombre d'heures</t>
  </si>
  <si>
    <t>taux horaire</t>
  </si>
  <si>
    <t>pièce</t>
  </si>
  <si>
    <t>salarié</t>
  </si>
  <si>
    <t>spectacle</t>
  </si>
  <si>
    <t>titre long</t>
  </si>
  <si>
    <t>titre court</t>
  </si>
  <si>
    <t>metteur en scène</t>
  </si>
  <si>
    <t>intitulé</t>
  </si>
  <si>
    <t>table</t>
  </si>
  <si>
    <t>display</t>
  </si>
  <si>
    <t>recherche</t>
  </si>
  <si>
    <t>nom du rôle</t>
  </si>
  <si>
    <t>nom du lieu</t>
  </si>
  <si>
    <t>champs</t>
  </si>
  <si>
    <t>liaisonID</t>
  </si>
  <si>
    <t>tableID</t>
  </si>
  <si>
    <t>visibles</t>
  </si>
  <si>
    <t>lieu - ID</t>
  </si>
  <si>
    <t>distribution artistique - ID</t>
  </si>
  <si>
    <t>distribution technique - ID</t>
  </si>
  <si>
    <t>pièce - ID</t>
  </si>
  <si>
    <t>profession - ID</t>
  </si>
  <si>
    <t>rôle - ID</t>
  </si>
  <si>
    <t>salarié - ID</t>
  </si>
  <si>
    <t>spectacle - ID</t>
  </si>
  <si>
    <t>1ère ligne</t>
  </si>
  <si>
    <t>dernière ligne</t>
  </si>
  <si>
    <t>nom table BD</t>
  </si>
  <si>
    <t>nom table dysplay</t>
  </si>
  <si>
    <t>nom de feuille</t>
  </si>
  <si>
    <t>tableDisplay</t>
  </si>
  <si>
    <t>feuille</t>
  </si>
  <si>
    <t>Distribution artistique</t>
  </si>
  <si>
    <t>Distribution technique</t>
  </si>
  <si>
    <t>Lieux de représentation</t>
  </si>
  <si>
    <t>Rôles</t>
  </si>
  <si>
    <t>Salariés</t>
  </si>
  <si>
    <t>Pièces</t>
  </si>
  <si>
    <t>regX</t>
  </si>
  <si>
    <t>liste</t>
  </si>
  <si>
    <t>num</t>
  </si>
  <si>
    <t>heure</t>
  </si>
  <si>
    <t>decimal</t>
  </si>
  <si>
    <t>text</t>
  </si>
  <si>
    <t>email</t>
  </si>
  <si>
    <t>bool</t>
  </si>
  <si>
    <t>choix1</t>
  </si>
  <si>
    <t>choix3</t>
  </si>
  <si>
    <t>toto</t>
  </si>
  <si>
    <t>tableBD</t>
  </si>
  <si>
    <t>Paris</t>
  </si>
  <si>
    <t>Théâtre de Paris</t>
  </si>
  <si>
    <t>11 rue de Paris</t>
  </si>
  <si>
    <t>75009</t>
  </si>
  <si>
    <t>Natacha</t>
  </si>
  <si>
    <t>PALISSE</t>
  </si>
  <si>
    <t>Geoffres</t>
  </si>
  <si>
    <t>gac1</t>
  </si>
  <si>
    <t>Christoph</t>
  </si>
  <si>
    <t>startAddNewRecord</t>
  </si>
  <si>
    <t>startTableVisible</t>
  </si>
  <si>
    <t>startShowOnRecord</t>
  </si>
  <si>
    <t>startFieldToSearch</t>
  </si>
  <si>
    <t>adresseNameTable</t>
  </si>
  <si>
    <t>startTableInvisible</t>
  </si>
  <si>
    <t>startDeleteOnRecord</t>
  </si>
  <si>
    <t>startMatriceBD</t>
  </si>
  <si>
    <t>StartNomFeuille</t>
  </si>
  <si>
    <t>allAdress</t>
  </si>
  <si>
    <t>allAdressToShow</t>
  </si>
  <si>
    <t>Comédien</t>
  </si>
  <si>
    <t>Artiste Chanteur</t>
  </si>
  <si>
    <t>Régisseur Lumière</t>
  </si>
  <si>
    <t>startHideBD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</si>
</sst>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right"/>
    </xf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2" xfId="0" applyFont="1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4" borderId="4" xfId="0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0" borderId="1" xfId="0" applyBorder="1"/>
    <xf numFmtId="0" fontId="0" fillId="62" borderId="0" xfId="0" applyFill="1" applyAlignment="1">
      <alignment horizontal="center"/>
    </xf>
    <xf numFmtId="0" fontId="2" fillId="6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8" fillId="63" borderId="1" xfId="0" applyFont="1" applyFill="1" applyBorder="1" applyAlignment="1">
      <alignment horizontal="center"/>
    </xf>
    <xf numFmtId="0" fontId="3" fillId="6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117475</xdr:rowOff>
    </xdr:from>
    <xdr:to>
      <xdr:col>8</xdr:col>
      <xdr:colOff>25400</xdr:colOff>
      <xdr:row>7</xdr:row>
      <xdr:rowOff>146050</xdr:rowOff>
    </xdr:to>
    <xdr:sp macro="[0]!plusieurslign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99ACFB3-FA1E-43C6-BD8B-95CDB0B462C1}"/>
            </a:ext>
          </a:extLst>
        </xdr:cNvPr>
        <xdr:cNvSpPr/>
      </xdr:nvSpPr>
      <xdr:spPr>
        <a:xfrm>
          <a:off x="4864100" y="1038225"/>
          <a:ext cx="1257300" cy="396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plusieurs</a:t>
          </a:r>
          <a:r>
            <a:rPr lang="fr-FR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lignes</a:t>
          </a:r>
          <a:endParaRPr lang="fr-FR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115431</xdr:colOff>
      <xdr:row>6</xdr:row>
      <xdr:rowOff>160564</xdr:rowOff>
    </xdr:from>
    <xdr:to>
      <xdr:col>7</xdr:col>
      <xdr:colOff>516595</xdr:colOff>
      <xdr:row>8</xdr:row>
      <xdr:rowOff>131536</xdr:rowOff>
    </xdr:to>
    <xdr:sp macro="[0]!Feuil4.ajoutUnE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69A1EC3-4500-6921-F113-24633D4E83CC}"/>
            </a:ext>
          </a:extLst>
        </xdr:cNvPr>
        <xdr:cNvSpPr/>
      </xdr:nvSpPr>
      <xdr:spPr>
        <a:xfrm>
          <a:off x="5471431" y="1303564"/>
          <a:ext cx="1314904" cy="3338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177322</xdr:colOff>
      <xdr:row>1</xdr:row>
      <xdr:rowOff>53522</xdr:rowOff>
    </xdr:from>
    <xdr:to>
      <xdr:col>7</xdr:col>
      <xdr:colOff>586217</xdr:colOff>
      <xdr:row>2</xdr:row>
      <xdr:rowOff>142422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2ED543-4A49-44DD-8169-8D3337967629}"/>
            </a:ext>
          </a:extLst>
        </xdr:cNvPr>
        <xdr:cNvSpPr/>
      </xdr:nvSpPr>
      <xdr:spPr>
        <a:xfrm>
          <a:off x="5530848" y="234951"/>
          <a:ext cx="1324429" cy="3247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5CE9E4F-5FF6-BB86-21D6-9EA006523D84}"/>
            </a:ext>
          </a:extLst>
        </xdr:cNvPr>
        <xdr:cNvSpPr/>
      </xdr:nvSpPr>
      <xdr:spPr>
        <a:xfrm>
          <a:off x="6726917" y="2013859"/>
          <a:ext cx="829582" cy="33564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261951</xdr:colOff>
      <xdr:row>6</xdr:row>
      <xdr:rowOff>163104</xdr:rowOff>
    </xdr:from>
    <xdr:to>
      <xdr:col>7</xdr:col>
      <xdr:colOff>757427</xdr:colOff>
      <xdr:row>8</xdr:row>
      <xdr:rowOff>139156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019D2BD-3224-4E7E-AC93-6029C376A62A}"/>
            </a:ext>
          </a:extLst>
        </xdr:cNvPr>
        <xdr:cNvSpPr/>
      </xdr:nvSpPr>
      <xdr:spPr>
        <a:xfrm>
          <a:off x="547415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428762</xdr:colOff>
      <xdr:row>1</xdr:row>
      <xdr:rowOff>59872</xdr:rowOff>
    </xdr:from>
    <xdr:to>
      <xdr:col>7</xdr:col>
      <xdr:colOff>804779</xdr:colOff>
      <xdr:row>2</xdr:row>
      <xdr:rowOff>137342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9D1CC8A-BF08-44C6-93CB-6D69E42F887A}"/>
            </a:ext>
          </a:extLst>
        </xdr:cNvPr>
        <xdr:cNvSpPr/>
      </xdr:nvSpPr>
      <xdr:spPr>
        <a:xfrm>
          <a:off x="553356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E2B642-303D-4EE8-94AB-16CACFB1D83E}"/>
            </a:ext>
          </a:extLst>
        </xdr:cNvPr>
        <xdr:cNvSpPr/>
      </xdr:nvSpPr>
      <xdr:spPr>
        <a:xfrm>
          <a:off x="525099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1015815</xdr:colOff>
      <xdr:row>6</xdr:row>
      <xdr:rowOff>168184</xdr:rowOff>
    </xdr:from>
    <xdr:to>
      <xdr:col>9</xdr:col>
      <xdr:colOff>21591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1F5C55-0383-4A20-9038-F1F040F16547}"/>
            </a:ext>
          </a:extLst>
        </xdr:cNvPr>
        <xdr:cNvSpPr/>
      </xdr:nvSpPr>
      <xdr:spPr>
        <a:xfrm>
          <a:off x="546780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1013002</xdr:colOff>
      <xdr:row>1</xdr:row>
      <xdr:rowOff>61142</xdr:rowOff>
    </xdr:from>
    <xdr:to>
      <xdr:col>9</xdr:col>
      <xdr:colOff>89263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CE5BBC-0AC0-4E85-9B4B-E13E55AFD825}"/>
            </a:ext>
          </a:extLst>
        </xdr:cNvPr>
        <xdr:cNvSpPr/>
      </xdr:nvSpPr>
      <xdr:spPr>
        <a:xfrm>
          <a:off x="552721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304B96-576A-4FE0-812E-059B8D001255}"/>
            </a:ext>
          </a:extLst>
        </xdr:cNvPr>
        <xdr:cNvSpPr/>
      </xdr:nvSpPr>
      <xdr:spPr>
        <a:xfrm>
          <a:off x="471124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809259</xdr:colOff>
      <xdr:row>6</xdr:row>
      <xdr:rowOff>168184</xdr:rowOff>
    </xdr:from>
    <xdr:to>
      <xdr:col>8</xdr:col>
      <xdr:colOff>901519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98A693-3D80-4366-8A3E-C026E7BD23A5}"/>
            </a:ext>
          </a:extLst>
        </xdr:cNvPr>
        <xdr:cNvSpPr/>
      </xdr:nvSpPr>
      <xdr:spPr>
        <a:xfrm>
          <a:off x="5287281" y="1351189"/>
          <a:ext cx="1209222" cy="3519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824861</xdr:colOff>
      <xdr:row>1</xdr:row>
      <xdr:rowOff>61142</xdr:rowOff>
    </xdr:from>
    <xdr:to>
      <xdr:col>8</xdr:col>
      <xdr:colOff>898706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C9BC4A5-432B-4924-9C3B-E2C54D6EE590}"/>
            </a:ext>
          </a:extLst>
        </xdr:cNvPr>
        <xdr:cNvSpPr/>
      </xdr:nvSpPr>
      <xdr:spPr>
        <a:xfrm>
          <a:off x="5299073" y="244022"/>
          <a:ext cx="1266372" cy="327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7828792-B484-424E-B9C9-63A718A32484}"/>
            </a:ext>
          </a:extLst>
        </xdr:cNvPr>
        <xdr:cNvSpPr/>
      </xdr:nvSpPr>
      <xdr:spPr>
        <a:xfrm>
          <a:off x="4419146" y="2161270"/>
          <a:ext cx="789667" cy="34471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10</xdr:row>
      <xdr:rowOff>168275</xdr:rowOff>
    </xdr:from>
    <xdr:to>
      <xdr:col>0</xdr:col>
      <xdr:colOff>1841499</xdr:colOff>
      <xdr:row>12</xdr:row>
      <xdr:rowOff>136525</xdr:rowOff>
    </xdr:to>
    <xdr:sp macro="[0]!regular4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F258CA-EC68-2354-F085-3895D4842634}"/>
            </a:ext>
          </a:extLst>
        </xdr:cNvPr>
        <xdr:cNvSpPr/>
      </xdr:nvSpPr>
      <xdr:spPr>
        <a:xfrm>
          <a:off x="676274" y="2073275"/>
          <a:ext cx="1165225" cy="336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essai</a:t>
          </a:r>
          <a:r>
            <a:rPr lang="fr-FR" sz="1400" baseline="0"/>
            <a:t> regex</a:t>
          </a:r>
          <a:endParaRPr lang="fr-FR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102117</xdr:colOff>
      <xdr:row>0</xdr:row>
      <xdr:rowOff>588772</xdr:rowOff>
    </xdr:from>
    <xdr:to>
      <xdr:col>0</xdr:col>
      <xdr:colOff>1362788</xdr:colOff>
      <xdr:row>0</xdr:row>
      <xdr:rowOff>940745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2E3F26-F72D-4178-B804-F70725605627}"/>
            </a:ext>
          </a:extLst>
        </xdr:cNvPr>
        <xdr:cNvSpPr/>
      </xdr:nvSpPr>
      <xdr:spPr>
        <a:xfrm>
          <a:off x="102117" y="588772"/>
          <a:ext cx="1260671" cy="3519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2</xdr:col>
      <xdr:colOff>28119</xdr:colOff>
      <xdr:row>0</xdr:row>
      <xdr:rowOff>636714</xdr:rowOff>
    </xdr:from>
    <xdr:to>
      <xdr:col>4</xdr:col>
      <xdr:colOff>4707</xdr:colOff>
      <xdr:row>0</xdr:row>
      <xdr:rowOff>962016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BAB8EAF-12DD-49A3-A5C2-64031D56E198}"/>
            </a:ext>
          </a:extLst>
        </xdr:cNvPr>
        <xdr:cNvSpPr/>
      </xdr:nvSpPr>
      <xdr:spPr>
        <a:xfrm>
          <a:off x="1799769" y="636714"/>
          <a:ext cx="1300563" cy="325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920110</xdr:colOff>
      <xdr:row>0</xdr:row>
      <xdr:rowOff>662931</xdr:rowOff>
    </xdr:from>
    <xdr:to>
      <xdr:col>7</xdr:col>
      <xdr:colOff>266721</xdr:colOff>
      <xdr:row>0</xdr:row>
      <xdr:rowOff>1018850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3D35E1-5540-4829-891A-03B8B029818A}"/>
            </a:ext>
          </a:extLst>
        </xdr:cNvPr>
        <xdr:cNvSpPr/>
      </xdr:nvSpPr>
      <xdr:spPr>
        <a:xfrm>
          <a:off x="5149210" y="662931"/>
          <a:ext cx="803936" cy="35591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4</xdr:col>
      <xdr:colOff>327233</xdr:colOff>
      <xdr:row>0</xdr:row>
      <xdr:rowOff>652722</xdr:rowOff>
    </xdr:from>
    <xdr:to>
      <xdr:col>4</xdr:col>
      <xdr:colOff>1381125</xdr:colOff>
      <xdr:row>0</xdr:row>
      <xdr:rowOff>962026</xdr:rowOff>
    </xdr:to>
    <xdr:sp macro="[0]!testUserForm2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1A059A8-F4D1-4A22-9864-C2DE8EF5A7F5}"/>
            </a:ext>
          </a:extLst>
        </xdr:cNvPr>
        <xdr:cNvSpPr/>
      </xdr:nvSpPr>
      <xdr:spPr>
        <a:xfrm>
          <a:off x="3422858" y="652722"/>
          <a:ext cx="1053892" cy="3093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show</a:t>
          </a:r>
          <a:r>
            <a:rPr lang="fr-FR" sz="1100" baseline="0"/>
            <a:t> / hide</a:t>
          </a:r>
          <a:endParaRPr lang="fr-FR" sz="1100"/>
        </a:p>
      </xdr:txBody>
    </xdr:sp>
    <xdr:clientData/>
  </xdr:twoCellAnchor>
  <xdr:twoCellAnchor>
    <xdr:from>
      <xdr:col>8</xdr:col>
      <xdr:colOff>847725</xdr:colOff>
      <xdr:row>7</xdr:row>
      <xdr:rowOff>180975</xdr:rowOff>
    </xdr:from>
    <xdr:to>
      <xdr:col>11</xdr:col>
      <xdr:colOff>771525</xdr:colOff>
      <xdr:row>26</xdr:row>
      <xdr:rowOff>152400</xdr:rowOff>
    </xdr:to>
    <xdr:sp macro="" textlink="">
      <xdr:nvSpPr>
        <xdr:cNvPr id="6" name="menuPlan">
          <a:extLst>
            <a:ext uri="{FF2B5EF4-FFF2-40B4-BE49-F238E27FC236}">
              <a16:creationId xmlns:a16="http://schemas.microsoft.com/office/drawing/2014/main" id="{F51485FB-1C0A-4A26-B7D9-FF137D85E79A}"/>
            </a:ext>
          </a:extLst>
        </xdr:cNvPr>
        <xdr:cNvSpPr/>
      </xdr:nvSpPr>
      <xdr:spPr>
        <a:xfrm>
          <a:off x="8734425" y="2762250"/>
          <a:ext cx="2133600" cy="3590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228600</xdr:colOff>
      <xdr:row>13</xdr:row>
      <xdr:rowOff>76200</xdr:rowOff>
    </xdr:from>
    <xdr:to>
      <xdr:col>8</xdr:col>
      <xdr:colOff>438150</xdr:colOff>
      <xdr:row>15</xdr:row>
      <xdr:rowOff>123825</xdr:rowOff>
    </xdr:to>
    <xdr:sp macro="[0]!augmentatio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853E1BF-34DA-D5C9-1CFD-62B31095E14B}"/>
            </a:ext>
          </a:extLst>
        </xdr:cNvPr>
        <xdr:cNvSpPr/>
      </xdr:nvSpPr>
      <xdr:spPr>
        <a:xfrm>
          <a:off x="5915025" y="3590925"/>
          <a:ext cx="101917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augmenter</a:t>
          </a:r>
        </a:p>
      </xdr:txBody>
    </xdr:sp>
    <xdr:clientData/>
  </xdr:twoCellAnchor>
  <xdr:twoCellAnchor>
    <xdr:from>
      <xdr:col>7</xdr:col>
      <xdr:colOff>285750</xdr:colOff>
      <xdr:row>20</xdr:row>
      <xdr:rowOff>171450</xdr:rowOff>
    </xdr:from>
    <xdr:to>
      <xdr:col>8</xdr:col>
      <xdr:colOff>514350</xdr:colOff>
      <xdr:row>23</xdr:row>
      <xdr:rowOff>76200</xdr:rowOff>
    </xdr:to>
    <xdr:sp macro="[0]!diminution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6C86EB3-527A-32AC-9633-BF154CFF98DF}"/>
            </a:ext>
          </a:extLst>
        </xdr:cNvPr>
        <xdr:cNvSpPr/>
      </xdr:nvSpPr>
      <xdr:spPr>
        <a:xfrm>
          <a:off x="5972175" y="5019675"/>
          <a:ext cx="1038225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diminuer</a:t>
          </a:r>
        </a:p>
      </xdr:txBody>
    </xdr:sp>
    <xdr:clientData/>
  </xdr:twoCellAnchor>
  <xdr:twoCellAnchor>
    <xdr:from>
      <xdr:col>8</xdr:col>
      <xdr:colOff>1066800</xdr:colOff>
      <xdr:row>9</xdr:row>
      <xdr:rowOff>108710</xdr:rowOff>
    </xdr:from>
    <xdr:to>
      <xdr:col>9</xdr:col>
      <xdr:colOff>312375</xdr:colOff>
      <xdr:row>11</xdr:row>
      <xdr:rowOff>87710</xdr:rowOff>
    </xdr:to>
    <xdr:grpSp>
      <xdr:nvGrpSpPr>
        <xdr:cNvPr id="22" name="AllR" hidden="1">
          <a:extLst>
            <a:ext uri="{FF2B5EF4-FFF2-40B4-BE49-F238E27FC236}">
              <a16:creationId xmlns:a16="http://schemas.microsoft.com/office/drawing/2014/main" id="{D9096E9D-D7E2-167B-E0A0-395EBC11F0B8}"/>
            </a:ext>
          </a:extLst>
        </xdr:cNvPr>
        <xdr:cNvGrpSpPr/>
      </xdr:nvGrpSpPr>
      <xdr:grpSpPr>
        <a:xfrm>
          <a:off x="8953500" y="3070985"/>
          <a:ext cx="360000" cy="360000"/>
          <a:chOff x="6482917" y="2861433"/>
          <a:chExt cx="414000" cy="425194"/>
        </a:xfrm>
      </xdr:grpSpPr>
      <xdr:sp macro="[0]!augmentation" textlink="">
        <xdr:nvSpPr>
          <xdr:cNvPr id="19" name="R3" hidden="1">
            <a:extLst>
              <a:ext uri="{FF2B5EF4-FFF2-40B4-BE49-F238E27FC236}">
                <a16:creationId xmlns:a16="http://schemas.microsoft.com/office/drawing/2014/main" id="{6F5414DB-C13C-AB50-348C-BAD4925FC6E1}"/>
              </a:ext>
            </a:extLst>
          </xdr:cNvPr>
          <xdr:cNvSpPr/>
        </xdr:nvSpPr>
        <xdr:spPr>
          <a:xfrm>
            <a:off x="6482917" y="2861433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0" name="R2" hidden="1">
            <a:extLst>
              <a:ext uri="{FF2B5EF4-FFF2-40B4-BE49-F238E27FC236}">
                <a16:creationId xmlns:a16="http://schemas.microsoft.com/office/drawing/2014/main" id="{FCB6D3B6-7765-45E0-A3EE-D4FA50C0CE1D}"/>
              </a:ext>
            </a:extLst>
          </xdr:cNvPr>
          <xdr:cNvSpPr/>
        </xdr:nvSpPr>
        <xdr:spPr>
          <a:xfrm>
            <a:off x="6482917" y="306228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1" name="R1" hidden="1">
            <a:extLst>
              <a:ext uri="{FF2B5EF4-FFF2-40B4-BE49-F238E27FC236}">
                <a16:creationId xmlns:a16="http://schemas.microsoft.com/office/drawing/2014/main" id="{E668FF9C-DF61-4FB3-93C5-DB46C3974F87}"/>
              </a:ext>
            </a:extLst>
          </xdr:cNvPr>
          <xdr:cNvSpPr/>
        </xdr:nvSpPr>
        <xdr:spPr>
          <a:xfrm>
            <a:off x="6482917" y="326862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11</xdr:col>
      <xdr:colOff>304801</xdr:colOff>
      <xdr:row>9</xdr:row>
      <xdr:rowOff>1</xdr:rowOff>
    </xdr:from>
    <xdr:to>
      <xdr:col>11</xdr:col>
      <xdr:colOff>539751</xdr:colOff>
      <xdr:row>10</xdr:row>
      <xdr:rowOff>57151</xdr:rowOff>
    </xdr:to>
    <xdr:sp macro="[0]!diminution" textlink="">
      <xdr:nvSpPr>
        <xdr:cNvPr id="23" name="closeR">
          <a:extLst>
            <a:ext uri="{FF2B5EF4-FFF2-40B4-BE49-F238E27FC236}">
              <a16:creationId xmlns:a16="http://schemas.microsoft.com/office/drawing/2014/main" id="{EB78E6A7-31C2-9A0C-D971-8DDB67B0E269}"/>
            </a:ext>
          </a:extLst>
        </xdr:cNvPr>
        <xdr:cNvSpPr/>
      </xdr:nvSpPr>
      <xdr:spPr>
        <a:xfrm>
          <a:off x="9010651" y="2752726"/>
          <a:ext cx="234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X</a:t>
          </a:r>
        </a:p>
      </xdr:txBody>
    </xdr:sp>
    <xdr:clientData/>
  </xdr:twoCellAnchor>
  <xdr:twoCellAnchor>
    <xdr:from>
      <xdr:col>12</xdr:col>
      <xdr:colOff>609600</xdr:colOff>
      <xdr:row>3</xdr:row>
      <xdr:rowOff>47625</xdr:rowOff>
    </xdr:from>
    <xdr:to>
      <xdr:col>14</xdr:col>
      <xdr:colOff>371475</xdr:colOff>
      <xdr:row>5</xdr:row>
      <xdr:rowOff>66675</xdr:rowOff>
    </xdr:to>
    <xdr:sp macro="[0]!ShapeBtn" textlink="">
      <xdr:nvSpPr>
        <xdr:cNvPr id="24" name="toto5">
          <a:extLst>
            <a:ext uri="{FF2B5EF4-FFF2-40B4-BE49-F238E27FC236}">
              <a16:creationId xmlns:a16="http://schemas.microsoft.com/office/drawing/2014/main" id="{83F812FA-FCEB-616B-FA7F-67CCABB09269}"/>
            </a:ext>
          </a:extLst>
        </xdr:cNvPr>
        <xdr:cNvSpPr/>
      </xdr:nvSpPr>
      <xdr:spPr>
        <a:xfrm>
          <a:off x="10810875" y="1866900"/>
          <a:ext cx="119062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Professions</a:t>
          </a:r>
        </a:p>
      </xdr:txBody>
    </xdr:sp>
    <xdr:clientData/>
  </xdr:twoCellAnchor>
  <xdr:twoCellAnchor>
    <xdr:from>
      <xdr:col>0</xdr:col>
      <xdr:colOff>85725</xdr:colOff>
      <xdr:row>2</xdr:row>
      <xdr:rowOff>76200</xdr:rowOff>
    </xdr:from>
    <xdr:to>
      <xdr:col>0</xdr:col>
      <xdr:colOff>1190625</xdr:colOff>
      <xdr:row>21</xdr:row>
      <xdr:rowOff>104775</xdr:rowOff>
    </xdr:to>
    <xdr:grpSp>
      <xdr:nvGrpSpPr>
        <xdr:cNvPr id="7" name="boutons">
          <a:extLst>
            <a:ext uri="{FF2B5EF4-FFF2-40B4-BE49-F238E27FC236}">
              <a16:creationId xmlns:a16="http://schemas.microsoft.com/office/drawing/2014/main" id="{43B5950C-A19E-F40B-BA15-F6A05213C1AF}"/>
            </a:ext>
          </a:extLst>
        </xdr:cNvPr>
        <xdr:cNvGrpSpPr/>
      </xdr:nvGrpSpPr>
      <xdr:grpSpPr>
        <a:xfrm>
          <a:off x="85725" y="1704975"/>
          <a:ext cx="1104900" cy="3648075"/>
          <a:chOff x="85725" y="1704975"/>
          <a:chExt cx="1104900" cy="3648075"/>
        </a:xfrm>
      </xdr:grpSpPr>
      <xdr:sp macro="[0]!shapeNav" textlink="">
        <xdr:nvSpPr>
          <xdr:cNvPr id="25" name="titi1">
            <a:extLst>
              <a:ext uri="{FF2B5EF4-FFF2-40B4-BE49-F238E27FC236}">
                <a16:creationId xmlns:a16="http://schemas.microsoft.com/office/drawing/2014/main" id="{6F75F81A-F437-93CB-9EB1-8688DC6E76EB}"/>
              </a:ext>
            </a:extLst>
          </xdr:cNvPr>
          <xdr:cNvSpPr/>
        </xdr:nvSpPr>
        <xdr:spPr>
          <a:xfrm>
            <a:off x="85725" y="17049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26" name="titi2">
            <a:extLst>
              <a:ext uri="{FF2B5EF4-FFF2-40B4-BE49-F238E27FC236}">
                <a16:creationId xmlns:a16="http://schemas.microsoft.com/office/drawing/2014/main" id="{91734B8D-AB76-4D2F-BA16-404FA37D1C2C}"/>
              </a:ext>
            </a:extLst>
          </xdr:cNvPr>
          <xdr:cNvSpPr/>
        </xdr:nvSpPr>
        <xdr:spPr>
          <a:xfrm>
            <a:off x="85725" y="21635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27" name="titi3">
            <a:extLst>
              <a:ext uri="{FF2B5EF4-FFF2-40B4-BE49-F238E27FC236}">
                <a16:creationId xmlns:a16="http://schemas.microsoft.com/office/drawing/2014/main" id="{34508718-3918-4D5A-8A4C-E28823E6C8D7}"/>
              </a:ext>
            </a:extLst>
          </xdr:cNvPr>
          <xdr:cNvSpPr/>
        </xdr:nvSpPr>
        <xdr:spPr>
          <a:xfrm>
            <a:off x="85725" y="26220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28" name="titi4">
            <a:extLst>
              <a:ext uri="{FF2B5EF4-FFF2-40B4-BE49-F238E27FC236}">
                <a16:creationId xmlns:a16="http://schemas.microsoft.com/office/drawing/2014/main" id="{4CF6727C-F4F6-4775-8A92-F7ADA8254D9F}"/>
              </a:ext>
            </a:extLst>
          </xdr:cNvPr>
          <xdr:cNvSpPr/>
        </xdr:nvSpPr>
        <xdr:spPr>
          <a:xfrm>
            <a:off x="85725" y="30806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29" name="titi5">
            <a:extLst>
              <a:ext uri="{FF2B5EF4-FFF2-40B4-BE49-F238E27FC236}">
                <a16:creationId xmlns:a16="http://schemas.microsoft.com/office/drawing/2014/main" id="{34F2EDEA-39EE-48A0-8181-7113FA4FF9DD}"/>
              </a:ext>
            </a:extLst>
          </xdr:cNvPr>
          <xdr:cNvSpPr/>
        </xdr:nvSpPr>
        <xdr:spPr>
          <a:xfrm>
            <a:off x="85725" y="35392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30" name="titi6">
            <a:extLst>
              <a:ext uri="{FF2B5EF4-FFF2-40B4-BE49-F238E27FC236}">
                <a16:creationId xmlns:a16="http://schemas.microsoft.com/office/drawing/2014/main" id="{B9F8C246-F6AD-4163-B81D-6BC1774B9357}"/>
              </a:ext>
            </a:extLst>
          </xdr:cNvPr>
          <xdr:cNvSpPr/>
        </xdr:nvSpPr>
        <xdr:spPr>
          <a:xfrm>
            <a:off x="85725" y="39977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31" name="titi7">
            <a:extLst>
              <a:ext uri="{FF2B5EF4-FFF2-40B4-BE49-F238E27FC236}">
                <a16:creationId xmlns:a16="http://schemas.microsoft.com/office/drawing/2014/main" id="{036A482B-972E-4FA5-AB9D-AC9EBF6197BB}"/>
              </a:ext>
            </a:extLst>
          </xdr:cNvPr>
          <xdr:cNvSpPr/>
        </xdr:nvSpPr>
        <xdr:spPr>
          <a:xfrm>
            <a:off x="85725" y="44563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32" name="titi8">
            <a:extLst>
              <a:ext uri="{FF2B5EF4-FFF2-40B4-BE49-F238E27FC236}">
                <a16:creationId xmlns:a16="http://schemas.microsoft.com/office/drawing/2014/main" id="{D7D1795F-4E8A-4095-B121-4782443A8BE9}"/>
              </a:ext>
            </a:extLst>
          </xdr:cNvPr>
          <xdr:cNvSpPr/>
        </xdr:nvSpPr>
        <xdr:spPr>
          <a:xfrm>
            <a:off x="85725" y="49149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6</xdr:row>
      <xdr:rowOff>99695</xdr:rowOff>
    </xdr:from>
    <xdr:to>
      <xdr:col>11</xdr:col>
      <xdr:colOff>223437</xdr:colOff>
      <xdr:row>8</xdr:row>
      <xdr:rowOff>60214</xdr:rowOff>
    </xdr:to>
    <xdr:sp macro="[0]!testUserFor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E6CF9F7-BAAB-A95E-FE83-025E8CCCCF5E}"/>
            </a:ext>
          </a:extLst>
        </xdr:cNvPr>
        <xdr:cNvSpPr/>
      </xdr:nvSpPr>
      <xdr:spPr>
        <a:xfrm>
          <a:off x="7680325" y="1196975"/>
          <a:ext cx="925112" cy="326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userForm</a:t>
          </a:r>
          <a:r>
            <a:rPr lang="fr-FR" sz="1100" baseline="0"/>
            <a:t> 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5AD6-7DCE-4038-82D1-97A93B02047B}">
  <sheetPr codeName="Feuil2"/>
  <dimension ref="B1:E14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15.7109375" bestFit="1" customWidth="1"/>
  </cols>
  <sheetData>
    <row r="1" spans="2:5" x14ac:dyDescent="0.25">
      <c r="B1" s="3" t="s">
        <v>25</v>
      </c>
      <c r="C1" s="3" t="s">
        <v>93</v>
      </c>
      <c r="D1" s="3" t="s">
        <v>27</v>
      </c>
      <c r="E1" s="3" t="s">
        <v>94</v>
      </c>
    </row>
    <row r="2" spans="2:5" x14ac:dyDescent="0.25">
      <c r="B2" s="1" t="s">
        <v>133</v>
      </c>
      <c r="C2" s="1" t="s">
        <v>134</v>
      </c>
      <c r="D2" s="1" t="s">
        <v>135</v>
      </c>
      <c r="E2" s="1" t="s">
        <v>136</v>
      </c>
    </row>
    <row r="3" spans="2:5" x14ac:dyDescent="0.25">
      <c r="B3" s="1" t="s">
        <v>137</v>
      </c>
      <c r="C3" s="1" t="s">
        <v>138</v>
      </c>
      <c r="D3" s="1" t="s">
        <v>139</v>
      </c>
      <c r="E3" s="1" t="s">
        <v>140</v>
      </c>
    </row>
    <row r="4" spans="2:5" x14ac:dyDescent="0.25">
      <c r="B4" s="1" t="s">
        <v>141</v>
      </c>
      <c r="C4" s="1" t="s">
        <v>142</v>
      </c>
      <c r="D4" s="1" t="s">
        <v>143</v>
      </c>
      <c r="E4" s="1" t="s">
        <v>144</v>
      </c>
    </row>
    <row r="5" spans="2:5" x14ac:dyDescent="0.25">
      <c r="B5" s="1" t="s">
        <v>145</v>
      </c>
      <c r="C5" s="1" t="s">
        <v>146</v>
      </c>
      <c r="D5" s="1" t="s">
        <v>147</v>
      </c>
      <c r="E5" s="1" t="s">
        <v>148</v>
      </c>
    </row>
    <row r="6" spans="2:5" x14ac:dyDescent="0.25">
      <c r="B6" s="1" t="s">
        <v>149</v>
      </c>
      <c r="C6" s="1" t="s">
        <v>150</v>
      </c>
      <c r="D6" s="1" t="s">
        <v>151</v>
      </c>
      <c r="E6" s="1" t="s">
        <v>152</v>
      </c>
    </row>
    <row r="7" spans="2:5" x14ac:dyDescent="0.25">
      <c r="B7" s="1" t="s">
        <v>153</v>
      </c>
      <c r="C7" s="1" t="s">
        <v>154</v>
      </c>
      <c r="D7" s="1" t="s">
        <v>155</v>
      </c>
      <c r="E7" s="1" t="s">
        <v>156</v>
      </c>
    </row>
    <row r="8" spans="2:5" x14ac:dyDescent="0.25">
      <c r="B8" s="1" t="s">
        <v>157</v>
      </c>
      <c r="C8" s="1" t="s">
        <v>158</v>
      </c>
      <c r="D8" s="1" t="s">
        <v>159</v>
      </c>
      <c r="E8" s="1" t="s">
        <v>160</v>
      </c>
    </row>
    <row r="9" spans="2:5" x14ac:dyDescent="0.25">
      <c r="B9" s="1" t="s">
        <v>161</v>
      </c>
      <c r="C9" s="1" t="s">
        <v>162</v>
      </c>
      <c r="D9" s="1" t="s">
        <v>163</v>
      </c>
      <c r="E9" s="1" t="s">
        <v>164</v>
      </c>
    </row>
    <row r="14" spans="2:5" x14ac:dyDescent="0.25">
      <c r="B14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330E-6418-4B71-B839-1E3885F8F199}">
  <sheetPr codeName="Feuil4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" style="1" bestFit="1" customWidth="1"/>
    <col min="4" max="4" width="23.42578125" style="1" bestFit="1" customWidth="1"/>
    <col min="5" max="5" width="14.42578125" style="1" bestFit="1" customWidth="1"/>
    <col min="6" max="6" width="21.8554687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2.42578125" style="1" bestFit="1" customWidth="1"/>
    <col min="12" max="12" width="11" style="1" bestFit="1" customWidth="1"/>
    <col min="13" max="13" width="23.42578125" style="1" bestFit="1" customWidth="1"/>
    <col min="14" max="14" width="14.42578125" style="1" bestFit="1" customWidth="1"/>
    <col min="15" max="15" width="21.8554687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25</v>
      </c>
      <c r="D2" s="90" t="s">
        <v>26</v>
      </c>
      <c r="E2" s="90" t="s">
        <v>27</v>
      </c>
      <c r="F2" s="90" t="s">
        <v>35</v>
      </c>
      <c r="G2" s="4"/>
      <c r="L2" s="91" t="s">
        <v>76</v>
      </c>
    </row>
    <row r="3" spans="1:15" x14ac:dyDescent="0.25">
      <c r="B3" s="26">
        <v>4</v>
      </c>
      <c r="C3" s="3" t="s">
        <v>117</v>
      </c>
      <c r="D3" s="3" t="s">
        <v>118</v>
      </c>
      <c r="E3" s="3" t="s">
        <v>119</v>
      </c>
      <c r="F3" s="3" t="s">
        <v>120</v>
      </c>
    </row>
    <row r="5" spans="1:15" x14ac:dyDescent="0.25">
      <c r="C5"/>
      <c r="D5"/>
      <c r="E5"/>
      <c r="F5" s="90" t="s">
        <v>27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25</v>
      </c>
      <c r="D8" s="90" t="s">
        <v>26</v>
      </c>
      <c r="E8" s="90" t="s">
        <v>27</v>
      </c>
      <c r="F8" s="90" t="s">
        <v>35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25</v>
      </c>
      <c r="D12" s="90" t="s">
        <v>26</v>
      </c>
      <c r="E12" s="90" t="s">
        <v>27</v>
      </c>
      <c r="F12" s="90" t="s">
        <v>35</v>
      </c>
      <c r="K12" s="8" t="s">
        <v>36</v>
      </c>
    </row>
    <row r="13" spans="1:15" x14ac:dyDescent="0.25">
      <c r="B13" s="26">
        <v>4</v>
      </c>
      <c r="C13" s="3" t="s">
        <v>117</v>
      </c>
      <c r="D13" s="3" t="s">
        <v>118</v>
      </c>
      <c r="E13" s="3" t="s">
        <v>119</v>
      </c>
      <c r="F13" s="3" t="s">
        <v>120</v>
      </c>
      <c r="G13" s="7"/>
    </row>
    <row r="14" spans="1:15" x14ac:dyDescent="0.25">
      <c r="A14" s="27"/>
      <c r="F14" s="7"/>
      <c r="G14" s="7"/>
      <c r="K14" s="87" t="s">
        <v>24</v>
      </c>
      <c r="L14" s="87" t="s">
        <v>25</v>
      </c>
      <c r="M14" s="2" t="s">
        <v>93</v>
      </c>
      <c r="N14" s="2" t="s">
        <v>27</v>
      </c>
      <c r="O14" s="2" t="s">
        <v>94</v>
      </c>
    </row>
    <row r="15" spans="1:15" x14ac:dyDescent="0.25">
      <c r="F15" s="7"/>
      <c r="G15" s="7"/>
      <c r="K15" s="83">
        <v>1</v>
      </c>
      <c r="L15" s="83" t="s">
        <v>28</v>
      </c>
      <c r="M15" s="83" t="s">
        <v>29</v>
      </c>
      <c r="N15" s="83" t="s">
        <v>30</v>
      </c>
      <c r="O15" s="83" t="s">
        <v>31</v>
      </c>
    </row>
    <row r="16" spans="1:15" x14ac:dyDescent="0.25">
      <c r="F16" s="7"/>
      <c r="G16" s="7"/>
      <c r="K16" s="84">
        <v>2</v>
      </c>
      <c r="L16" s="84" t="s">
        <v>32</v>
      </c>
      <c r="M16" s="84" t="s">
        <v>33</v>
      </c>
      <c r="N16" s="84" t="s">
        <v>30</v>
      </c>
      <c r="O16" s="84" t="s">
        <v>34</v>
      </c>
    </row>
    <row r="17" spans="1:18" x14ac:dyDescent="0.25">
      <c r="F17" s="7"/>
      <c r="G17" s="7"/>
      <c r="K17" s="83">
        <v>3</v>
      </c>
      <c r="L17" s="83" t="s">
        <v>114</v>
      </c>
      <c r="M17" s="83" t="s">
        <v>115</v>
      </c>
      <c r="N17" s="83" t="s">
        <v>30</v>
      </c>
      <c r="O17" s="83" t="s">
        <v>116</v>
      </c>
    </row>
    <row r="18" spans="1:18" x14ac:dyDescent="0.25">
      <c r="F18" s="7"/>
      <c r="G18" s="7"/>
      <c r="K18" s="84">
        <v>4</v>
      </c>
      <c r="L18" s="84" t="s">
        <v>117</v>
      </c>
      <c r="M18" s="84" t="s">
        <v>118</v>
      </c>
      <c r="N18" s="84" t="s">
        <v>119</v>
      </c>
      <c r="O18" s="84" t="s">
        <v>120</v>
      </c>
    </row>
    <row r="19" spans="1:18" x14ac:dyDescent="0.25">
      <c r="C19" s="90" t="s">
        <v>25</v>
      </c>
      <c r="D19" s="90" t="s">
        <v>26</v>
      </c>
      <c r="E19" s="90" t="s">
        <v>27</v>
      </c>
      <c r="F19" s="90" t="s">
        <v>35</v>
      </c>
      <c r="G19" s="7"/>
      <c r="K19" s="83">
        <v>5</v>
      </c>
      <c r="L19" s="83" t="s">
        <v>121</v>
      </c>
      <c r="M19" s="83" t="s">
        <v>122</v>
      </c>
      <c r="N19" s="83" t="s">
        <v>123</v>
      </c>
      <c r="O19" s="83" t="s">
        <v>37</v>
      </c>
    </row>
    <row r="20" spans="1:18" x14ac:dyDescent="0.25">
      <c r="C20" s="83" t="s">
        <v>28</v>
      </c>
      <c r="D20" s="83" t="s">
        <v>29</v>
      </c>
      <c r="E20" s="83" t="s">
        <v>30</v>
      </c>
      <c r="F20" s="83" t="s">
        <v>31</v>
      </c>
      <c r="G20" s="7"/>
      <c r="I20" s="7"/>
      <c r="J20" s="7"/>
      <c r="K20" s="84">
        <v>6</v>
      </c>
      <c r="L20" s="84" t="s">
        <v>121</v>
      </c>
      <c r="M20" s="84" t="s">
        <v>122</v>
      </c>
      <c r="N20" s="84" t="s">
        <v>123</v>
      </c>
      <c r="O20" s="84" t="s">
        <v>37</v>
      </c>
    </row>
    <row r="21" spans="1:18" x14ac:dyDescent="0.25">
      <c r="C21" s="84" t="s">
        <v>32</v>
      </c>
      <c r="D21" s="84" t="s">
        <v>33</v>
      </c>
      <c r="E21" s="84" t="s">
        <v>30</v>
      </c>
      <c r="F21" s="84" t="s">
        <v>34</v>
      </c>
      <c r="G21" s="7"/>
      <c r="I21" s="7"/>
      <c r="J21" s="7"/>
      <c r="K21" s="83">
        <v>7</v>
      </c>
      <c r="L21" s="83" t="s">
        <v>121</v>
      </c>
      <c r="M21" s="83" t="s">
        <v>122</v>
      </c>
      <c r="N21" s="83" t="s">
        <v>123</v>
      </c>
      <c r="O21" s="83" t="s">
        <v>37</v>
      </c>
    </row>
    <row r="22" spans="1:18" x14ac:dyDescent="0.25">
      <c r="C22" s="83" t="s">
        <v>114</v>
      </c>
      <c r="D22" s="83" t="s">
        <v>115</v>
      </c>
      <c r="E22" s="83" t="s">
        <v>30</v>
      </c>
      <c r="F22" s="83" t="s">
        <v>116</v>
      </c>
      <c r="I22" s="7"/>
      <c r="J22" s="7"/>
      <c r="K22" s="84">
        <v>8</v>
      </c>
      <c r="L22" s="84" t="s">
        <v>124</v>
      </c>
      <c r="M22" s="84" t="s">
        <v>38</v>
      </c>
      <c r="N22" s="84" t="s">
        <v>39</v>
      </c>
      <c r="O22" s="84" t="s">
        <v>37</v>
      </c>
    </row>
    <row r="23" spans="1:18" x14ac:dyDescent="0.25">
      <c r="C23" s="84" t="s">
        <v>117</v>
      </c>
      <c r="D23" s="84" t="s">
        <v>118</v>
      </c>
      <c r="E23" s="84" t="s">
        <v>119</v>
      </c>
      <c r="F23" s="84" t="s">
        <v>120</v>
      </c>
      <c r="I23" s="7"/>
      <c r="J23" s="7"/>
      <c r="K23" s="83">
        <v>9</v>
      </c>
      <c r="L23" s="83" t="s">
        <v>125</v>
      </c>
      <c r="M23" s="83" t="s">
        <v>38</v>
      </c>
      <c r="N23" s="83" t="s">
        <v>39</v>
      </c>
      <c r="O23" s="83" t="s">
        <v>37</v>
      </c>
    </row>
    <row r="24" spans="1:18" x14ac:dyDescent="0.25">
      <c r="C24" s="83" t="s">
        <v>121</v>
      </c>
      <c r="D24" s="83" t="s">
        <v>122</v>
      </c>
      <c r="E24" s="83" t="s">
        <v>123</v>
      </c>
      <c r="F24" s="83" t="s">
        <v>37</v>
      </c>
      <c r="I24" s="7"/>
      <c r="J24" s="7"/>
      <c r="K24" s="84">
        <v>59</v>
      </c>
      <c r="L24" s="84" t="s">
        <v>126</v>
      </c>
      <c r="M24" s="84" t="s">
        <v>127</v>
      </c>
      <c r="N24" s="84" t="s">
        <v>128</v>
      </c>
      <c r="O24" s="84" t="s">
        <v>129</v>
      </c>
    </row>
    <row r="25" spans="1:18" x14ac:dyDescent="0.25">
      <c r="B25" s="7"/>
      <c r="C25" s="84" t="s">
        <v>121</v>
      </c>
      <c r="D25" s="84" t="s">
        <v>122</v>
      </c>
      <c r="E25" s="84" t="s">
        <v>123</v>
      </c>
      <c r="F25" s="84" t="s">
        <v>37</v>
      </c>
      <c r="I25" s="7"/>
      <c r="J25" s="7"/>
      <c r="K25" s="83">
        <v>60</v>
      </c>
      <c r="L25" s="83" t="s">
        <v>130</v>
      </c>
      <c r="M25" s="83" t="s">
        <v>118</v>
      </c>
      <c r="N25" s="83" t="s">
        <v>131</v>
      </c>
      <c r="O25" s="83" t="s">
        <v>132</v>
      </c>
    </row>
    <row r="26" spans="1:18" s="86" customFormat="1" x14ac:dyDescent="0.25">
      <c r="A26" s="1"/>
      <c r="B26" s="7"/>
      <c r="C26" s="83" t="s">
        <v>121</v>
      </c>
      <c r="D26" s="83" t="s">
        <v>122</v>
      </c>
      <c r="E26" s="83" t="s">
        <v>123</v>
      </c>
      <c r="F26" s="83" t="s">
        <v>37</v>
      </c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18" x14ac:dyDescent="0.25">
      <c r="B27" s="7"/>
      <c r="C27" s="84" t="s">
        <v>124</v>
      </c>
      <c r="D27" s="84" t="s">
        <v>38</v>
      </c>
      <c r="E27" s="84" t="s">
        <v>39</v>
      </c>
      <c r="F27" s="84" t="s">
        <v>37</v>
      </c>
      <c r="G27" s="7"/>
      <c r="I27" s="7"/>
      <c r="J27" s="7"/>
      <c r="K27" s="7"/>
      <c r="L27" s="7"/>
      <c r="M27" s="7"/>
      <c r="N27" s="7"/>
      <c r="O27" s="7"/>
    </row>
    <row r="28" spans="1:18" x14ac:dyDescent="0.25">
      <c r="B28" s="7"/>
      <c r="C28" s="83" t="s">
        <v>125</v>
      </c>
      <c r="D28" s="83" t="s">
        <v>38</v>
      </c>
      <c r="E28" s="83" t="s">
        <v>39</v>
      </c>
      <c r="F28" s="83" t="s">
        <v>37</v>
      </c>
      <c r="G28" s="7"/>
      <c r="I28" s="7"/>
      <c r="J28" s="7"/>
      <c r="K28" s="7"/>
      <c r="L28" s="7"/>
      <c r="M28" s="7"/>
      <c r="N28" s="7"/>
      <c r="O28" s="7"/>
    </row>
    <row r="29" spans="1:18" x14ac:dyDescent="0.25">
      <c r="B29" s="7"/>
      <c r="C29" s="84" t="s">
        <v>126</v>
      </c>
      <c r="D29" s="84" t="s">
        <v>127</v>
      </c>
      <c r="E29" s="84" t="s">
        <v>128</v>
      </c>
      <c r="F29" s="84" t="s">
        <v>129</v>
      </c>
      <c r="G29" s="7"/>
      <c r="I29" s="7"/>
      <c r="J29" s="7"/>
      <c r="K29" s="7"/>
      <c r="L29" s="7"/>
      <c r="M29" s="7"/>
      <c r="N29" s="7"/>
      <c r="O29" s="7"/>
    </row>
    <row r="30" spans="1:18" x14ac:dyDescent="0.25">
      <c r="B30" s="7"/>
      <c r="C30" s="83" t="s">
        <v>130</v>
      </c>
      <c r="D30" s="83" t="s">
        <v>118</v>
      </c>
      <c r="E30" s="83" t="s">
        <v>131</v>
      </c>
      <c r="F30" s="83" t="s">
        <v>132</v>
      </c>
      <c r="K30" s="7"/>
      <c r="L30" s="7"/>
      <c r="M30" s="7"/>
      <c r="N30" s="7"/>
      <c r="O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N31" s="7"/>
      <c r="O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N32" s="7"/>
      <c r="O32" s="7"/>
    </row>
    <row r="33" spans="2:15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N33" s="7"/>
      <c r="O33" s="7"/>
    </row>
    <row r="34" spans="2:15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5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5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5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5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5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5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5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5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5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5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5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5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5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5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D36ADC50-FC36-4950-AF51-E767AC2150F8}">
      <formula1>$N$15:$N$25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7600-AEDA-48A2-B5EC-1C3913AE10DF}">
  <sheetPr codeName="Feuil9"/>
  <dimension ref="A2:V68"/>
  <sheetViews>
    <sheetView showGridLines="0" zoomScale="55" zoomScaleNormal="55" workbookViewId="0">
      <selection activeCell="V32" sqref="V32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.7109375" style="1" bestFit="1" customWidth="1"/>
    <col min="4" max="4" width="12.140625" style="1" bestFit="1" customWidth="1"/>
    <col min="5" max="5" width="10" style="1" bestFit="1" customWidth="1"/>
    <col min="6" max="6" width="33.285156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1.7109375" style="1" bestFit="1" customWidth="1"/>
    <col min="12" max="12" width="11.7109375" style="1" bestFit="1" customWidth="1"/>
    <col min="13" max="13" width="12.140625" style="1" bestFit="1" customWidth="1"/>
    <col min="14" max="14" width="10" style="1" bestFit="1" customWidth="1"/>
    <col min="15" max="15" width="33.285156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</v>
      </c>
      <c r="D2" s="90" t="s">
        <v>0</v>
      </c>
      <c r="E2" s="90" t="s">
        <v>104</v>
      </c>
      <c r="F2" s="90" t="s">
        <v>4</v>
      </c>
      <c r="G2" s="4"/>
      <c r="L2" s="91" t="s">
        <v>95</v>
      </c>
    </row>
    <row r="3" spans="1:15" x14ac:dyDescent="0.25">
      <c r="B3" s="26">
        <v>58</v>
      </c>
      <c r="C3" s="3" t="s">
        <v>99</v>
      </c>
      <c r="D3" s="3" t="s">
        <v>100</v>
      </c>
      <c r="E3" s="3" t="s">
        <v>98</v>
      </c>
      <c r="F3" s="3" t="s">
        <v>101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</v>
      </c>
      <c r="D8" s="90" t="s">
        <v>0</v>
      </c>
      <c r="E8" s="90" t="s">
        <v>104</v>
      </c>
      <c r="F8" s="90" t="s">
        <v>4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</v>
      </c>
      <c r="D12" s="90" t="s">
        <v>0</v>
      </c>
      <c r="E12" s="90" t="s">
        <v>104</v>
      </c>
      <c r="F12" s="90" t="s">
        <v>4</v>
      </c>
      <c r="K12" s="8" t="s">
        <v>36</v>
      </c>
    </row>
    <row r="13" spans="1:15" x14ac:dyDescent="0.25">
      <c r="B13" s="26"/>
      <c r="C13" s="3"/>
      <c r="D13" s="3"/>
      <c r="E13" s="3"/>
      <c r="F13" s="3"/>
      <c r="G13" s="7"/>
    </row>
    <row r="14" spans="1:15" x14ac:dyDescent="0.25">
      <c r="A14" s="27"/>
      <c r="F14" s="7"/>
      <c r="G14" s="7"/>
      <c r="K14" s="87" t="s">
        <v>1</v>
      </c>
      <c r="L14" s="87" t="s">
        <v>2</v>
      </c>
      <c r="M14" s="2" t="s">
        <v>0</v>
      </c>
      <c r="N14" s="2" t="s">
        <v>3</v>
      </c>
      <c r="O14" s="2" t="s">
        <v>4</v>
      </c>
    </row>
    <row r="15" spans="1:15" x14ac:dyDescent="0.25">
      <c r="F15" s="7"/>
      <c r="G15" s="7"/>
      <c r="K15" s="83">
        <v>1</v>
      </c>
      <c r="L15" s="83" t="s">
        <v>5</v>
      </c>
      <c r="M15" s="83" t="s">
        <v>6</v>
      </c>
      <c r="N15" s="83" t="s">
        <v>254</v>
      </c>
      <c r="O15" s="83" t="s">
        <v>7</v>
      </c>
    </row>
    <row r="16" spans="1:15" x14ac:dyDescent="0.25">
      <c r="F16" s="7"/>
      <c r="G16" s="7"/>
      <c r="K16" s="84">
        <v>2</v>
      </c>
      <c r="L16" s="84" t="s">
        <v>8</v>
      </c>
      <c r="M16" s="84" t="s">
        <v>255</v>
      </c>
      <c r="N16" s="84" t="s">
        <v>256</v>
      </c>
      <c r="O16" s="84" t="s">
        <v>9</v>
      </c>
    </row>
    <row r="17" spans="1:22" x14ac:dyDescent="0.25">
      <c r="F17" s="7"/>
      <c r="G17" s="7"/>
      <c r="K17" s="83">
        <v>3</v>
      </c>
      <c r="L17" s="83" t="s">
        <v>257</v>
      </c>
      <c r="M17" s="83" t="s">
        <v>11</v>
      </c>
      <c r="N17" s="83" t="s">
        <v>258</v>
      </c>
      <c r="O17" s="83" t="s">
        <v>10</v>
      </c>
    </row>
    <row r="18" spans="1:22" x14ac:dyDescent="0.25">
      <c r="F18" s="7"/>
      <c r="G18" s="7"/>
      <c r="K18" s="84">
        <v>52</v>
      </c>
      <c r="L18" s="84" t="s">
        <v>96</v>
      </c>
      <c r="M18" s="84" t="s">
        <v>248</v>
      </c>
      <c r="N18" s="84" t="s">
        <v>248</v>
      </c>
      <c r="O18" s="84" t="s">
        <v>248</v>
      </c>
    </row>
    <row r="19" spans="1:22" x14ac:dyDescent="0.25">
      <c r="C19" s="90" t="s">
        <v>2</v>
      </c>
      <c r="D19" s="90" t="s">
        <v>0</v>
      </c>
      <c r="E19" s="90" t="s">
        <v>104</v>
      </c>
      <c r="F19" s="90" t="s">
        <v>4</v>
      </c>
      <c r="G19" s="7"/>
      <c r="K19" s="7"/>
      <c r="L19" s="7"/>
      <c r="M19" s="7"/>
      <c r="N19" s="7"/>
      <c r="O19" s="7"/>
    </row>
    <row r="20" spans="1:22" x14ac:dyDescent="0.25">
      <c r="C20" s="83" t="s">
        <v>5</v>
      </c>
      <c r="D20" s="83" t="s">
        <v>6</v>
      </c>
      <c r="E20" s="83" t="s">
        <v>254</v>
      </c>
      <c r="F20" s="83" t="s">
        <v>7</v>
      </c>
      <c r="G20" s="7"/>
      <c r="I20" s="7"/>
      <c r="J20" s="7"/>
      <c r="K20" s="7"/>
      <c r="L20" s="7"/>
      <c r="M20" s="7"/>
      <c r="N20" s="7"/>
      <c r="O20" s="7"/>
    </row>
    <row r="21" spans="1:22" x14ac:dyDescent="0.25">
      <c r="C21" s="84" t="s">
        <v>8</v>
      </c>
      <c r="D21" s="84" t="s">
        <v>255</v>
      </c>
      <c r="E21" s="84" t="s">
        <v>256</v>
      </c>
      <c r="F21" s="84" t="s">
        <v>9</v>
      </c>
      <c r="G21" s="7"/>
      <c r="I21" s="7"/>
      <c r="J21" s="7"/>
      <c r="K21" s="7"/>
      <c r="L21" s="7"/>
      <c r="M21" s="7"/>
      <c r="N21" s="7"/>
      <c r="O21" s="7"/>
    </row>
    <row r="22" spans="1:22" x14ac:dyDescent="0.25">
      <c r="C22" s="83" t="s">
        <v>257</v>
      </c>
      <c r="D22" s="83" t="s">
        <v>11</v>
      </c>
      <c r="E22" s="83" t="s">
        <v>258</v>
      </c>
      <c r="F22" s="83" t="s">
        <v>10</v>
      </c>
      <c r="I22" s="7"/>
      <c r="J22" s="7"/>
      <c r="K22" s="7"/>
      <c r="L22" s="7"/>
      <c r="M22" s="7"/>
      <c r="N22" s="7"/>
      <c r="O22" s="7"/>
    </row>
    <row r="23" spans="1:22" x14ac:dyDescent="0.25">
      <c r="C23" s="84" t="s">
        <v>96</v>
      </c>
      <c r="D23" s="84" t="s">
        <v>248</v>
      </c>
      <c r="E23" s="84" t="s">
        <v>248</v>
      </c>
      <c r="F23" s="84" t="s">
        <v>248</v>
      </c>
      <c r="I23" s="7"/>
      <c r="J23" s="7"/>
      <c r="K23" s="7"/>
      <c r="L23" s="7"/>
      <c r="M23" s="7"/>
      <c r="N23" s="7"/>
      <c r="O23" s="7"/>
    </row>
    <row r="24" spans="1:22" x14ac:dyDescent="0.25">
      <c r="C24" s="7"/>
      <c r="D24" s="7"/>
      <c r="E24" s="7"/>
      <c r="F24" s="7"/>
      <c r="I24" s="7"/>
      <c r="J24" s="7"/>
      <c r="K24" s="7"/>
      <c r="L24" s="7"/>
      <c r="M24" s="7"/>
      <c r="N24" s="7"/>
      <c r="O24" s="7"/>
    </row>
    <row r="25" spans="1:22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  <c r="N25" s="7"/>
      <c r="O25" s="7"/>
    </row>
    <row r="26" spans="1:22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22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  <c r="N27" s="7"/>
      <c r="O27" s="7"/>
    </row>
    <row r="28" spans="1:22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  <c r="N28" s="7"/>
      <c r="O28" s="7"/>
    </row>
    <row r="29" spans="1:22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  <c r="N29" s="7"/>
      <c r="O29" s="7"/>
    </row>
    <row r="30" spans="1:22" x14ac:dyDescent="0.25">
      <c r="B30" s="7"/>
      <c r="C30" s="7"/>
      <c r="D30" s="7"/>
      <c r="E30" s="7"/>
      <c r="F30" s="7"/>
      <c r="K30" s="7"/>
      <c r="L30" s="7"/>
      <c r="M30" s="7"/>
    </row>
    <row r="31" spans="1:22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V31" s="1" t="s">
        <v>246</v>
      </c>
    </row>
    <row r="32" spans="1:22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V32" s="1" t="s">
        <v>248</v>
      </c>
    </row>
    <row r="33" spans="2:22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V33" s="1" t="s">
        <v>247</v>
      </c>
    </row>
    <row r="34" spans="2:22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22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22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22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22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22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22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22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22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22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22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22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22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22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22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69E52A9F-730F-4DC9-BE08-5C2F88EFBFEE}">
      <formula1>$M$15:$M$18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AA1-71DA-44A2-B4DB-4F49EE80AC87}">
  <sheetPr codeName="Feuil11"/>
  <dimension ref="A2:R68"/>
  <sheetViews>
    <sheetView showGridLines="0" zoomScale="70" zoomScaleNormal="70" workbookViewId="0">
      <selection activeCell="G8" sqref="G8"/>
    </sheetView>
  </sheetViews>
  <sheetFormatPr baseColWidth="10" defaultColWidth="10.85546875" defaultRowHeight="15" x14ac:dyDescent="0.25"/>
  <cols>
    <col min="1" max="1" width="5.7109375" style="1" customWidth="1"/>
    <col min="2" max="2" width="3.85546875" style="1" hidden="1" customWidth="1"/>
    <col min="3" max="3" width="18.5703125" style="1" bestFit="1" customWidth="1"/>
    <col min="4" max="4" width="15.42578125" style="1" bestFit="1" customWidth="1"/>
    <col min="5" max="5" width="6.5703125" style="1" bestFit="1" customWidth="1"/>
    <col min="6" max="6" width="5.57031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8.5703125" style="1" bestFit="1" customWidth="1"/>
    <col min="13" max="13" width="15.42578125" style="1" bestFit="1" customWidth="1"/>
    <col min="14" max="14" width="6.5703125" style="1" bestFit="1" customWidth="1"/>
    <col min="15" max="15" width="5.5703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109</v>
      </c>
      <c r="D2" s="90" t="s">
        <v>106</v>
      </c>
      <c r="E2" s="90" t="s">
        <v>107</v>
      </c>
      <c r="F2" s="90" t="s">
        <v>108</v>
      </c>
      <c r="G2" s="4"/>
      <c r="L2" s="91" t="s">
        <v>110</v>
      </c>
    </row>
    <row r="3" spans="1:15" x14ac:dyDescent="0.25">
      <c r="B3" s="26">
        <v>2</v>
      </c>
      <c r="C3" s="3" t="s">
        <v>251</v>
      </c>
      <c r="D3" s="3" t="s">
        <v>252</v>
      </c>
      <c r="E3" s="3" t="s">
        <v>253</v>
      </c>
      <c r="F3" s="3" t="s">
        <v>250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109</v>
      </c>
      <c r="D8" s="90" t="s">
        <v>106</v>
      </c>
      <c r="E8" s="90" t="s">
        <v>107</v>
      </c>
      <c r="F8" s="90" t="s">
        <v>108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109</v>
      </c>
      <c r="D12" s="90" t="s">
        <v>106</v>
      </c>
      <c r="E12" s="90" t="s">
        <v>107</v>
      </c>
      <c r="F12" s="90" t="s">
        <v>108</v>
      </c>
      <c r="K12" s="8" t="s">
        <v>36</v>
      </c>
    </row>
    <row r="13" spans="1:15" x14ac:dyDescent="0.25">
      <c r="B13" s="26">
        <v>2</v>
      </c>
      <c r="C13" s="3" t="s">
        <v>251</v>
      </c>
      <c r="D13" s="3" t="s">
        <v>252</v>
      </c>
      <c r="E13" s="3" t="s">
        <v>253</v>
      </c>
      <c r="F13" s="3" t="s">
        <v>250</v>
      </c>
      <c r="G13" s="7"/>
    </row>
    <row r="14" spans="1:15" x14ac:dyDescent="0.25">
      <c r="A14" s="27"/>
      <c r="F14" s="7"/>
      <c r="G14" s="7"/>
      <c r="K14" s="87" t="s">
        <v>105</v>
      </c>
      <c r="L14" s="87" t="s">
        <v>0</v>
      </c>
      <c r="M14" s="2" t="s">
        <v>106</v>
      </c>
      <c r="N14" s="2" t="s">
        <v>107</v>
      </c>
      <c r="O14" s="2" t="s">
        <v>108</v>
      </c>
    </row>
    <row r="15" spans="1:15" x14ac:dyDescent="0.25">
      <c r="F15" s="7"/>
      <c r="G15" s="7"/>
      <c r="K15" s="83">
        <v>1</v>
      </c>
      <c r="L15" s="83" t="s">
        <v>111</v>
      </c>
      <c r="M15" s="83" t="s">
        <v>112</v>
      </c>
      <c r="N15" s="83" t="s">
        <v>113</v>
      </c>
      <c r="O15" s="83" t="s">
        <v>250</v>
      </c>
    </row>
    <row r="16" spans="1:15" x14ac:dyDescent="0.25">
      <c r="F16" s="7"/>
      <c r="G16" s="7"/>
      <c r="K16" s="84">
        <v>2</v>
      </c>
      <c r="L16" s="84" t="s">
        <v>251</v>
      </c>
      <c r="M16" s="84" t="s">
        <v>252</v>
      </c>
      <c r="N16" s="84" t="s">
        <v>253</v>
      </c>
      <c r="O16" s="84" t="s">
        <v>250</v>
      </c>
    </row>
    <row r="17" spans="1:18" x14ac:dyDescent="0.25">
      <c r="F17" s="7"/>
      <c r="G17" s="7"/>
      <c r="K17" s="7"/>
      <c r="L17" s="7"/>
      <c r="M17" s="7"/>
      <c r="N17" s="7"/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109</v>
      </c>
      <c r="D19" s="90" t="s">
        <v>106</v>
      </c>
      <c r="E19" s="90" t="s">
        <v>107</v>
      </c>
      <c r="F19" s="90" t="s">
        <v>108</v>
      </c>
      <c r="G19" s="7"/>
      <c r="K19" s="7"/>
      <c r="L19" s="7"/>
      <c r="M19" s="7"/>
      <c r="N19" s="7"/>
      <c r="O19" s="7"/>
    </row>
    <row r="20" spans="1:18" x14ac:dyDescent="0.25">
      <c r="C20" s="83" t="s">
        <v>111</v>
      </c>
      <c r="D20" s="83" t="s">
        <v>112</v>
      </c>
      <c r="E20" s="83" t="s">
        <v>113</v>
      </c>
      <c r="F20" s="83" t="s">
        <v>250</v>
      </c>
      <c r="G20" s="7"/>
      <c r="I20" s="7"/>
      <c r="J20" s="7"/>
      <c r="K20" s="7"/>
      <c r="L20" s="7"/>
      <c r="M20" s="7"/>
    </row>
    <row r="21" spans="1:18" x14ac:dyDescent="0.25">
      <c r="C21" s="84" t="s">
        <v>251</v>
      </c>
      <c r="D21" s="84" t="s">
        <v>252</v>
      </c>
      <c r="E21" s="84" t="s">
        <v>253</v>
      </c>
      <c r="F21" s="84" t="s">
        <v>250</v>
      </c>
      <c r="G21" s="7"/>
      <c r="I21" s="7"/>
      <c r="J21" s="7"/>
      <c r="K21" s="7"/>
      <c r="L21" s="7"/>
      <c r="M21" s="7"/>
    </row>
    <row r="22" spans="1:18" x14ac:dyDescent="0.25">
      <c r="C22" s="7"/>
      <c r="D22" s="7"/>
      <c r="E22" s="7"/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847171EB-959D-44BE-A045-95286CE4FA48}">
      <formula1>$L$15:$L$16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FB1-5904-4FA8-9E3A-1D189C5CD4E3}">
  <sheetPr codeName="Feuil12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9.28515625" style="1" bestFit="1" customWidth="1"/>
    <col min="4" max="4" width="11.42578125" style="1" bestFit="1" customWidth="1"/>
    <col min="5" max="5" width="5.5703125" style="1" bestFit="1" customWidth="1"/>
    <col min="6" max="6" width="13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9.28515625" style="1" bestFit="1" customWidth="1"/>
    <col min="13" max="13" width="11.42578125" style="1" bestFit="1" customWidth="1"/>
    <col min="14" max="14" width="7.28515625" style="1" bestFit="1" customWidth="1"/>
    <col min="15" max="15" width="7.42578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169</v>
      </c>
      <c r="D2" s="90" t="s">
        <v>170</v>
      </c>
      <c r="E2" s="90" t="s">
        <v>171</v>
      </c>
      <c r="F2" s="4"/>
      <c r="G2" s="4"/>
      <c r="L2" s="91" t="s">
        <v>165</v>
      </c>
    </row>
    <row r="3" spans="1:15" x14ac:dyDescent="0.25">
      <c r="B3" s="26">
        <v>1</v>
      </c>
      <c r="C3" s="3" t="s">
        <v>172</v>
      </c>
      <c r="D3" s="3" t="s">
        <v>173</v>
      </c>
      <c r="E3" s="3">
        <v>1</v>
      </c>
    </row>
    <row r="5" spans="1:15" x14ac:dyDescent="0.25">
      <c r="C5"/>
      <c r="D5"/>
      <c r="E5"/>
      <c r="F5" s="90" t="s">
        <v>168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169</v>
      </c>
      <c r="D8" s="90" t="s">
        <v>170</v>
      </c>
      <c r="E8" s="90" t="s">
        <v>171</v>
      </c>
      <c r="F8" s="4"/>
    </row>
    <row r="9" spans="1:15" x14ac:dyDescent="0.25">
      <c r="C9" s="83"/>
      <c r="D9" s="83"/>
      <c r="E9" s="83"/>
    </row>
    <row r="12" spans="1:15" x14ac:dyDescent="0.25">
      <c r="B12" s="89"/>
      <c r="C12" s="90" t="s">
        <v>169</v>
      </c>
      <c r="D12" s="90" t="s">
        <v>170</v>
      </c>
      <c r="E12" s="90" t="s">
        <v>171</v>
      </c>
      <c r="F12" s="4"/>
      <c r="K12" s="8" t="s">
        <v>36</v>
      </c>
    </row>
    <row r="13" spans="1:15" x14ac:dyDescent="0.25">
      <c r="B13" s="26">
        <v>1</v>
      </c>
      <c r="C13" s="3" t="s">
        <v>172</v>
      </c>
      <c r="D13" s="3" t="s">
        <v>173</v>
      </c>
      <c r="E13" s="3">
        <v>1</v>
      </c>
      <c r="G13" s="7"/>
    </row>
    <row r="14" spans="1:15" x14ac:dyDescent="0.25">
      <c r="A14" s="27"/>
      <c r="F14" s="7"/>
      <c r="G14" s="7"/>
      <c r="K14" s="87" t="s">
        <v>166</v>
      </c>
      <c r="L14" s="87" t="s">
        <v>167</v>
      </c>
      <c r="M14" s="2" t="s">
        <v>168</v>
      </c>
      <c r="N14" s="2" t="s">
        <v>24</v>
      </c>
      <c r="O14" s="92"/>
    </row>
    <row r="15" spans="1:15" x14ac:dyDescent="0.25">
      <c r="F15" s="7"/>
      <c r="G15" s="7"/>
      <c r="K15" s="83">
        <v>1</v>
      </c>
      <c r="L15" s="83" t="s">
        <v>172</v>
      </c>
      <c r="M15" s="83" t="s">
        <v>173</v>
      </c>
      <c r="N15" s="83">
        <v>1</v>
      </c>
      <c r="O15" s="7"/>
    </row>
    <row r="16" spans="1:15" x14ac:dyDescent="0.25">
      <c r="F16" s="7"/>
      <c r="G16" s="7"/>
      <c r="K16" s="84">
        <v>2</v>
      </c>
      <c r="L16" s="84" t="s">
        <v>174</v>
      </c>
      <c r="M16" s="84" t="s">
        <v>175</v>
      </c>
      <c r="N16" s="84">
        <v>2</v>
      </c>
      <c r="O16" s="7"/>
    </row>
    <row r="17" spans="1:18" x14ac:dyDescent="0.25">
      <c r="F17" s="7"/>
      <c r="G17" s="7"/>
      <c r="K17" s="83">
        <v>3</v>
      </c>
      <c r="L17" s="83" t="s">
        <v>176</v>
      </c>
      <c r="M17" s="83" t="s">
        <v>177</v>
      </c>
      <c r="N17" s="83">
        <v>2</v>
      </c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169</v>
      </c>
      <c r="D19" s="90" t="s">
        <v>170</v>
      </c>
      <c r="E19" s="90" t="s">
        <v>171</v>
      </c>
      <c r="F19" s="4"/>
      <c r="G19" s="7"/>
      <c r="K19" s="7"/>
      <c r="L19" s="7"/>
      <c r="M19" s="7"/>
      <c r="N19" s="7"/>
      <c r="O19" s="7"/>
    </row>
    <row r="20" spans="1:18" x14ac:dyDescent="0.25">
      <c r="C20" s="83" t="s">
        <v>172</v>
      </c>
      <c r="D20" s="83" t="s">
        <v>173</v>
      </c>
      <c r="E20" s="83">
        <v>1</v>
      </c>
      <c r="G20" s="7"/>
      <c r="I20" s="7"/>
      <c r="J20" s="7"/>
      <c r="K20" s="7"/>
      <c r="L20" s="7"/>
      <c r="M20" s="7"/>
    </row>
    <row r="21" spans="1:18" x14ac:dyDescent="0.25">
      <c r="C21" s="84" t="s">
        <v>174</v>
      </c>
      <c r="D21" s="84" t="s">
        <v>175</v>
      </c>
      <c r="E21" s="84">
        <v>2</v>
      </c>
      <c r="F21" s="7"/>
      <c r="G21" s="7"/>
      <c r="I21" s="7"/>
      <c r="J21" s="7"/>
      <c r="K21" s="7"/>
      <c r="L21" s="7"/>
      <c r="M21" s="7"/>
    </row>
    <row r="22" spans="1:18" x14ac:dyDescent="0.25">
      <c r="C22" s="83" t="s">
        <v>176</v>
      </c>
      <c r="D22" s="83" t="s">
        <v>177</v>
      </c>
      <c r="E22" s="83">
        <v>2</v>
      </c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30FF2596-108C-428B-A1D7-4F91D6B91808}">
      <formula1>$M$15:$M$17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243F-260F-4B4C-892F-252D8A91D4F3}">
  <sheetPr codeName="Feuil6"/>
  <dimension ref="A1:H38"/>
  <sheetViews>
    <sheetView workbookViewId="0">
      <selection activeCell="C17" sqref="C17"/>
    </sheetView>
  </sheetViews>
  <sheetFormatPr baseColWidth="10" defaultRowHeight="15" x14ac:dyDescent="0.25"/>
  <cols>
    <col min="1" max="1" width="34.5703125" customWidth="1"/>
    <col min="2" max="2" width="15.5703125" customWidth="1"/>
    <col min="3" max="3" width="21.5703125" customWidth="1"/>
    <col min="4" max="4" width="1.5703125" customWidth="1"/>
    <col min="5" max="5" width="24.85546875" customWidth="1"/>
    <col min="6" max="6" width="5.140625" customWidth="1"/>
    <col min="7" max="7" width="29.28515625" bestFit="1" customWidth="1"/>
    <col min="8" max="8" width="59" customWidth="1"/>
  </cols>
  <sheetData>
    <row r="1" spans="1:8" x14ac:dyDescent="0.25">
      <c r="A1" s="10" t="s">
        <v>75</v>
      </c>
      <c r="B1" t="b">
        <v>0</v>
      </c>
    </row>
    <row r="2" spans="1:8" ht="19.5" customHeight="1" x14ac:dyDescent="0.25">
      <c r="A2" t="s">
        <v>45</v>
      </c>
      <c r="B2" t="b">
        <v>0</v>
      </c>
      <c r="E2" s="5" t="s">
        <v>74</v>
      </c>
      <c r="G2" t="s">
        <v>12</v>
      </c>
      <c r="H2" t="s">
        <v>13</v>
      </c>
    </row>
    <row r="3" spans="1:8" x14ac:dyDescent="0.25">
      <c r="A3" t="s">
        <v>46</v>
      </c>
      <c r="B3" t="b">
        <v>0</v>
      </c>
    </row>
    <row r="4" spans="1:8" x14ac:dyDescent="0.25">
      <c r="A4" t="s">
        <v>40</v>
      </c>
      <c r="B4" t="b">
        <v>0</v>
      </c>
      <c r="G4" t="s">
        <v>14</v>
      </c>
      <c r="H4" t="s">
        <v>15</v>
      </c>
    </row>
    <row r="5" spans="1:8" x14ac:dyDescent="0.25">
      <c r="A5" t="s">
        <v>44</v>
      </c>
      <c r="B5" t="b">
        <v>0</v>
      </c>
    </row>
    <row r="6" spans="1:8" x14ac:dyDescent="0.25">
      <c r="A6" t="s">
        <v>49</v>
      </c>
      <c r="B6" t="b">
        <v>0</v>
      </c>
      <c r="G6" t="s">
        <v>16</v>
      </c>
      <c r="H6" t="s">
        <v>17</v>
      </c>
    </row>
    <row r="7" spans="1:8" x14ac:dyDescent="0.25">
      <c r="A7" t="s">
        <v>41</v>
      </c>
      <c r="B7" t="b">
        <v>0</v>
      </c>
    </row>
    <row r="8" spans="1:8" x14ac:dyDescent="0.25">
      <c r="G8" t="s">
        <v>18</v>
      </c>
      <c r="H8" t="s">
        <v>19</v>
      </c>
    </row>
    <row r="10" spans="1:8" x14ac:dyDescent="0.25">
      <c r="G10" t="s">
        <v>42</v>
      </c>
      <c r="H10" t="s">
        <v>43</v>
      </c>
    </row>
    <row r="12" spans="1:8" x14ac:dyDescent="0.25">
      <c r="G12" t="s">
        <v>21</v>
      </c>
      <c r="H12" t="s">
        <v>22</v>
      </c>
    </row>
    <row r="13" spans="1:8" x14ac:dyDescent="0.25">
      <c r="G13" t="s">
        <v>20</v>
      </c>
      <c r="H13" t="s">
        <v>23</v>
      </c>
    </row>
    <row r="15" spans="1:8" x14ac:dyDescent="0.25">
      <c r="G15" t="s">
        <v>47</v>
      </c>
      <c r="H15" t="s">
        <v>48</v>
      </c>
    </row>
    <row r="17" spans="7:8" x14ac:dyDescent="0.25">
      <c r="G17" t="s">
        <v>50</v>
      </c>
      <c r="H17" t="s">
        <v>51</v>
      </c>
    </row>
    <row r="19" spans="7:8" x14ac:dyDescent="0.25">
      <c r="G19" t="s">
        <v>54</v>
      </c>
      <c r="H19" t="s">
        <v>52</v>
      </c>
    </row>
    <row r="21" spans="7:8" x14ac:dyDescent="0.25">
      <c r="G21" t="s">
        <v>53</v>
      </c>
      <c r="H21" t="s">
        <v>55</v>
      </c>
    </row>
    <row r="23" spans="7:8" x14ac:dyDescent="0.25">
      <c r="G23" t="s">
        <v>56</v>
      </c>
      <c r="H23" t="s">
        <v>57</v>
      </c>
    </row>
    <row r="25" spans="7:8" x14ac:dyDescent="0.25">
      <c r="G25" t="s">
        <v>59</v>
      </c>
      <c r="H25" t="s">
        <v>63</v>
      </c>
    </row>
    <row r="27" spans="7:8" x14ac:dyDescent="0.25">
      <c r="G27" t="s">
        <v>58</v>
      </c>
      <c r="H27" t="s">
        <v>62</v>
      </c>
    </row>
    <row r="29" spans="7:8" x14ac:dyDescent="0.25">
      <c r="G29" t="s">
        <v>65</v>
      </c>
      <c r="H29" t="s">
        <v>60</v>
      </c>
    </row>
    <row r="31" spans="7:8" x14ac:dyDescent="0.25">
      <c r="G31" t="s">
        <v>64</v>
      </c>
      <c r="H31" t="s">
        <v>61</v>
      </c>
    </row>
    <row r="33" spans="5:8" x14ac:dyDescent="0.25">
      <c r="E33" s="11" t="s">
        <v>67</v>
      </c>
      <c r="G33" t="s">
        <v>66</v>
      </c>
      <c r="H33" t="s">
        <v>70</v>
      </c>
    </row>
    <row r="35" spans="5:8" x14ac:dyDescent="0.25">
      <c r="E35" s="11" t="s">
        <v>67</v>
      </c>
      <c r="G35" t="s">
        <v>71</v>
      </c>
      <c r="H35" t="s">
        <v>72</v>
      </c>
    </row>
    <row r="37" spans="5:8" x14ac:dyDescent="0.25">
      <c r="E37" s="11" t="s">
        <v>67</v>
      </c>
      <c r="G37" t="s">
        <v>68</v>
      </c>
      <c r="H37" t="s">
        <v>69</v>
      </c>
    </row>
    <row r="38" spans="5:8" x14ac:dyDescent="0.25">
      <c r="E38" s="11" t="s">
        <v>67</v>
      </c>
      <c r="G38" t="s">
        <v>74</v>
      </c>
      <c r="H38" t="s">
        <v>73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48D1-DD1D-4848-9799-2F26A1300B32}">
  <sheetPr codeName="Feuil7"/>
  <dimension ref="A1:AN97"/>
  <sheetViews>
    <sheetView workbookViewId="0">
      <selection activeCell="H77" sqref="H77"/>
    </sheetView>
  </sheetViews>
  <sheetFormatPr baseColWidth="10" defaultRowHeight="15" x14ac:dyDescent="0.25"/>
  <cols>
    <col min="1" max="1" width="17.140625" style="1" bestFit="1" customWidth="1"/>
    <col min="2" max="2" width="5" style="1" bestFit="1" customWidth="1"/>
    <col min="3" max="3" width="5.140625" style="1" bestFit="1" customWidth="1"/>
    <col min="4" max="4" width="4.42578125" style="1" bestFit="1" customWidth="1"/>
    <col min="5" max="5" width="14.85546875" style="1" customWidth="1"/>
    <col min="6" max="6" width="5" style="1" bestFit="1" customWidth="1"/>
    <col min="7" max="7" width="5.140625" style="1" bestFit="1" customWidth="1"/>
    <col min="8" max="8" width="4.42578125" style="1" bestFit="1" customWidth="1"/>
    <col min="9" max="9" width="14.85546875" style="1" customWidth="1"/>
    <col min="10" max="10" width="5" style="1" bestFit="1" customWidth="1"/>
    <col min="11" max="11" width="5.140625" bestFit="1" customWidth="1"/>
    <col min="12" max="12" width="4.42578125" bestFit="1" customWidth="1"/>
    <col min="13" max="13" width="14.85546875" customWidth="1"/>
    <col min="14" max="14" width="5" bestFit="1" customWidth="1"/>
    <col min="15" max="15" width="5.140625" bestFit="1" customWidth="1"/>
    <col min="16" max="16" width="4.42578125" bestFit="1" customWidth="1"/>
    <col min="17" max="17" width="14.85546875" customWidth="1"/>
    <col min="18" max="18" width="5" bestFit="1" customWidth="1"/>
    <col min="19" max="19" width="5.140625" bestFit="1" customWidth="1"/>
    <col min="20" max="20" width="4.42578125" bestFit="1" customWidth="1"/>
    <col min="21" max="21" width="17.140625" bestFit="1" customWidth="1"/>
    <col min="22" max="22" width="5" bestFit="1" customWidth="1"/>
    <col min="23" max="23" width="5.140625" bestFit="1" customWidth="1"/>
    <col min="24" max="24" width="4.42578125" bestFit="1" customWidth="1"/>
    <col min="25" max="25" width="14.85546875" customWidth="1"/>
    <col min="26" max="26" width="5" bestFit="1" customWidth="1"/>
    <col min="27" max="27" width="5.140625" bestFit="1" customWidth="1"/>
    <col min="28" max="28" width="4.42578125" bestFit="1" customWidth="1"/>
    <col min="29" max="29" width="14.85546875" customWidth="1"/>
    <col min="30" max="30" width="5" bestFit="1" customWidth="1"/>
    <col min="31" max="31" width="5.140625" bestFit="1" customWidth="1"/>
    <col min="32" max="32" width="4.42578125" bestFit="1" customWidth="1"/>
    <col min="33" max="33" width="14.85546875" customWidth="1"/>
    <col min="34" max="34" width="5" bestFit="1" customWidth="1"/>
    <col min="35" max="35" width="5.140625" bestFit="1" customWidth="1"/>
    <col min="36" max="36" width="4.42578125" bestFit="1" customWidth="1"/>
    <col min="37" max="37" width="14.85546875" customWidth="1"/>
    <col min="38" max="38" width="5" bestFit="1" customWidth="1"/>
    <col min="39" max="39" width="5.140625" bestFit="1" customWidth="1"/>
    <col min="40" max="40" width="4.42578125" bestFit="1" customWidth="1"/>
  </cols>
  <sheetData>
    <row r="1" spans="1:40" x14ac:dyDescent="0.25">
      <c r="A1" s="12">
        <v>1</v>
      </c>
      <c r="B1" s="13"/>
      <c r="C1" s="13"/>
      <c r="D1" s="14"/>
      <c r="E1" s="12">
        <v>2</v>
      </c>
      <c r="F1" s="13"/>
      <c r="G1" s="13"/>
      <c r="H1" s="14"/>
      <c r="I1" s="15">
        <v>3</v>
      </c>
      <c r="J1" s="16"/>
      <c r="K1" s="16"/>
      <c r="L1" s="17"/>
      <c r="M1" s="15">
        <v>4</v>
      </c>
      <c r="N1" s="16"/>
      <c r="O1" s="16"/>
      <c r="P1" s="17"/>
      <c r="Q1" s="15">
        <v>5</v>
      </c>
      <c r="R1" s="16"/>
      <c r="S1" s="16"/>
      <c r="T1" s="17"/>
      <c r="U1" s="15">
        <v>6</v>
      </c>
      <c r="V1" s="16"/>
      <c r="W1" s="16"/>
      <c r="X1" s="17"/>
      <c r="Y1" s="15">
        <v>7</v>
      </c>
      <c r="Z1" s="16"/>
      <c r="AA1" s="16"/>
      <c r="AB1" s="17"/>
      <c r="AC1" s="15">
        <v>8</v>
      </c>
      <c r="AD1" s="16"/>
      <c r="AE1" s="16"/>
      <c r="AF1" s="17"/>
      <c r="AG1" s="15">
        <v>9</v>
      </c>
      <c r="AH1" s="16"/>
      <c r="AI1" s="16"/>
      <c r="AJ1" s="17"/>
      <c r="AK1" s="15">
        <v>10</v>
      </c>
      <c r="AL1" s="16"/>
      <c r="AM1" s="16"/>
      <c r="AN1" s="17"/>
    </row>
    <row r="2" spans="1:40" x14ac:dyDescent="0.25">
      <c r="A2" s="18" t="s">
        <v>77</v>
      </c>
      <c r="B2" s="4" t="s">
        <v>78</v>
      </c>
      <c r="C2" s="4" t="s">
        <v>79</v>
      </c>
      <c r="D2" s="19" t="s">
        <v>80</v>
      </c>
      <c r="E2" s="18" t="s">
        <v>77</v>
      </c>
      <c r="F2" s="4" t="s">
        <v>78</v>
      </c>
      <c r="G2" s="4" t="s">
        <v>79</v>
      </c>
      <c r="H2" s="19" t="s">
        <v>80</v>
      </c>
      <c r="I2" s="18" t="s">
        <v>77</v>
      </c>
      <c r="J2" s="4" t="s">
        <v>78</v>
      </c>
      <c r="K2" s="4" t="s">
        <v>79</v>
      </c>
      <c r="L2" s="19" t="s">
        <v>80</v>
      </c>
      <c r="M2" s="18" t="s">
        <v>77</v>
      </c>
      <c r="N2" s="4" t="s">
        <v>78</v>
      </c>
      <c r="O2" s="4" t="s">
        <v>79</v>
      </c>
      <c r="P2" s="19" t="s">
        <v>80</v>
      </c>
      <c r="Q2" s="18" t="s">
        <v>77</v>
      </c>
      <c r="R2" s="4" t="s">
        <v>78</v>
      </c>
      <c r="S2" s="4" t="s">
        <v>79</v>
      </c>
      <c r="T2" s="19" t="s">
        <v>80</v>
      </c>
      <c r="U2" s="18" t="s">
        <v>77</v>
      </c>
      <c r="V2" s="4" t="s">
        <v>78</v>
      </c>
      <c r="W2" s="4" t="s">
        <v>79</v>
      </c>
      <c r="X2" s="19" t="s">
        <v>80</v>
      </c>
      <c r="Y2" s="18" t="s">
        <v>77</v>
      </c>
      <c r="Z2" s="4" t="s">
        <v>78</v>
      </c>
      <c r="AA2" s="4" t="s">
        <v>79</v>
      </c>
      <c r="AB2" s="19" t="s">
        <v>80</v>
      </c>
      <c r="AC2" s="18" t="s">
        <v>77</v>
      </c>
      <c r="AD2" s="4" t="s">
        <v>78</v>
      </c>
      <c r="AE2" s="4" t="s">
        <v>79</v>
      </c>
      <c r="AF2" s="19" t="s">
        <v>80</v>
      </c>
      <c r="AG2" s="18" t="s">
        <v>77</v>
      </c>
      <c r="AH2" s="4" t="s">
        <v>78</v>
      </c>
      <c r="AI2" s="4" t="s">
        <v>79</v>
      </c>
      <c r="AJ2" s="19" t="s">
        <v>80</v>
      </c>
      <c r="AK2" s="18" t="s">
        <v>77</v>
      </c>
      <c r="AL2" s="4" t="s">
        <v>78</v>
      </c>
      <c r="AM2" s="4" t="s">
        <v>79</v>
      </c>
      <c r="AN2" s="19" t="s">
        <v>80</v>
      </c>
    </row>
    <row r="3" spans="1:40" x14ac:dyDescent="0.25">
      <c r="A3" s="20" t="s">
        <v>95</v>
      </c>
      <c r="B3" s="3">
        <v>26</v>
      </c>
      <c r="C3" s="3">
        <v>16</v>
      </c>
      <c r="D3" s="21"/>
      <c r="E3" s="20" t="s">
        <v>110</v>
      </c>
      <c r="F3" s="3">
        <v>26</v>
      </c>
      <c r="G3" s="3">
        <v>16</v>
      </c>
      <c r="H3" s="21"/>
      <c r="I3" s="20" t="s">
        <v>165</v>
      </c>
      <c r="J3" s="3"/>
      <c r="K3" s="3"/>
      <c r="L3" s="21"/>
      <c r="M3" s="20" t="s">
        <v>81</v>
      </c>
      <c r="N3" s="3"/>
      <c r="O3" s="3"/>
      <c r="P3" s="21"/>
      <c r="Q3" s="20" t="s">
        <v>82</v>
      </c>
      <c r="R3" s="3"/>
      <c r="S3" s="3"/>
      <c r="T3" s="21"/>
      <c r="U3" s="20" t="s">
        <v>76</v>
      </c>
      <c r="V3" s="3"/>
      <c r="W3" s="3"/>
      <c r="X3" s="21"/>
      <c r="Y3" s="20"/>
      <c r="Z3" s="3"/>
      <c r="AA3" s="3"/>
      <c r="AB3" s="21"/>
      <c r="AC3" s="20"/>
      <c r="AD3" s="3"/>
      <c r="AE3" s="3"/>
      <c r="AF3" s="21"/>
      <c r="AG3" s="20"/>
      <c r="AH3" s="3"/>
      <c r="AI3" s="3"/>
      <c r="AJ3" s="21"/>
      <c r="AK3" s="20"/>
      <c r="AL3" s="3"/>
      <c r="AM3" s="3"/>
      <c r="AN3" s="21"/>
    </row>
    <row r="4" spans="1:40" x14ac:dyDescent="0.25">
      <c r="A4" s="22" t="s">
        <v>83</v>
      </c>
      <c r="B4" s="3">
        <v>26</v>
      </c>
      <c r="C4" s="3">
        <v>16</v>
      </c>
      <c r="D4" s="21"/>
      <c r="E4" s="22" t="s">
        <v>84</v>
      </c>
      <c r="F4" s="3">
        <v>26</v>
      </c>
      <c r="G4" s="3">
        <v>16</v>
      </c>
      <c r="H4" s="21"/>
      <c r="I4" s="22" t="s">
        <v>83</v>
      </c>
      <c r="J4" s="3"/>
      <c r="K4" s="3"/>
      <c r="L4" s="21"/>
      <c r="M4" s="22" t="s">
        <v>83</v>
      </c>
      <c r="N4" s="3"/>
      <c r="O4" s="3"/>
      <c r="P4" s="21"/>
      <c r="Q4" s="22" t="s">
        <v>83</v>
      </c>
      <c r="R4" s="3"/>
      <c r="S4" s="3"/>
      <c r="T4" s="21"/>
      <c r="U4" s="22"/>
      <c r="V4" s="3"/>
      <c r="W4" s="3"/>
      <c r="X4" s="21"/>
      <c r="Y4" s="22"/>
      <c r="Z4" s="3"/>
      <c r="AA4" s="3"/>
      <c r="AB4" s="21"/>
      <c r="AC4" s="22"/>
      <c r="AD4" s="3"/>
      <c r="AE4" s="3"/>
      <c r="AF4" s="21"/>
      <c r="AG4" s="22"/>
      <c r="AH4" s="3"/>
      <c r="AI4" s="3"/>
      <c r="AJ4" s="21"/>
      <c r="AK4" s="22"/>
      <c r="AL4" s="3"/>
      <c r="AM4" s="3"/>
      <c r="AN4" s="21"/>
    </row>
    <row r="5" spans="1:40" x14ac:dyDescent="0.25">
      <c r="A5" s="22" t="s">
        <v>85</v>
      </c>
      <c r="B5" s="3">
        <v>26</v>
      </c>
      <c r="C5" s="3">
        <v>16</v>
      </c>
      <c r="D5" s="21"/>
      <c r="E5" s="22" t="s">
        <v>81</v>
      </c>
      <c r="F5" s="3">
        <v>26</v>
      </c>
      <c r="G5" s="3">
        <v>16</v>
      </c>
      <c r="H5" s="21"/>
      <c r="I5" s="22" t="s">
        <v>85</v>
      </c>
      <c r="J5" s="3"/>
      <c r="K5" s="3"/>
      <c r="L5" s="21"/>
      <c r="M5" s="22" t="s">
        <v>85</v>
      </c>
      <c r="N5" s="3"/>
      <c r="O5" s="3"/>
      <c r="P5" s="21"/>
      <c r="Q5" s="22" t="s">
        <v>85</v>
      </c>
      <c r="R5" s="3"/>
      <c r="S5" s="3"/>
      <c r="T5" s="21"/>
      <c r="U5" s="22"/>
      <c r="V5" s="3"/>
      <c r="W5" s="3"/>
      <c r="X5" s="21"/>
      <c r="Y5" s="22"/>
      <c r="Z5" s="3"/>
      <c r="AA5" s="3"/>
      <c r="AB5" s="21"/>
      <c r="AC5" s="22"/>
      <c r="AD5" s="3"/>
      <c r="AE5" s="3"/>
      <c r="AF5" s="21"/>
      <c r="AG5" s="22"/>
      <c r="AH5" s="3"/>
      <c r="AI5" s="3"/>
      <c r="AJ5" s="21"/>
      <c r="AK5" s="22"/>
      <c r="AL5" s="3"/>
      <c r="AM5" s="3"/>
      <c r="AN5" s="21"/>
    </row>
    <row r="6" spans="1:40" x14ac:dyDescent="0.25">
      <c r="A6" s="22" t="s">
        <v>86</v>
      </c>
      <c r="B6" s="3">
        <v>26</v>
      </c>
      <c r="C6" s="3">
        <v>16</v>
      </c>
      <c r="D6" s="21"/>
      <c r="E6" s="22" t="s">
        <v>87</v>
      </c>
      <c r="F6" s="3">
        <v>26</v>
      </c>
      <c r="G6" s="3">
        <v>16</v>
      </c>
      <c r="H6" s="21"/>
      <c r="I6" s="22" t="s">
        <v>86</v>
      </c>
      <c r="J6" s="3"/>
      <c r="K6" s="3"/>
      <c r="L6" s="21"/>
      <c r="M6" s="22" t="s">
        <v>86</v>
      </c>
      <c r="N6" s="3"/>
      <c r="O6" s="3"/>
      <c r="P6" s="21"/>
      <c r="Q6" s="22" t="s">
        <v>86</v>
      </c>
      <c r="R6" s="3"/>
      <c r="S6" s="3"/>
      <c r="T6" s="21"/>
      <c r="U6" s="22"/>
      <c r="V6" s="3"/>
      <c r="W6" s="3"/>
      <c r="X6" s="21"/>
      <c r="Y6" s="22"/>
      <c r="Z6" s="3"/>
      <c r="AA6" s="3"/>
      <c r="AB6" s="21"/>
      <c r="AC6" s="22"/>
      <c r="AD6" s="3"/>
      <c r="AE6" s="3"/>
      <c r="AF6" s="21"/>
      <c r="AG6" s="22"/>
      <c r="AH6" s="3"/>
      <c r="AI6" s="3"/>
      <c r="AJ6" s="21"/>
      <c r="AK6" s="22"/>
      <c r="AL6" s="3"/>
      <c r="AM6" s="3"/>
      <c r="AN6" s="21"/>
    </row>
    <row r="7" spans="1:40" x14ac:dyDescent="0.25">
      <c r="A7" s="22" t="s">
        <v>84</v>
      </c>
      <c r="B7" s="3">
        <v>26</v>
      </c>
      <c r="C7" s="3">
        <v>16</v>
      </c>
      <c r="D7" s="21"/>
      <c r="E7" s="22"/>
      <c r="F7" s="3">
        <v>26</v>
      </c>
      <c r="G7" s="3">
        <v>16</v>
      </c>
      <c r="H7" s="21"/>
      <c r="I7" s="22" t="s">
        <v>84</v>
      </c>
      <c r="J7" s="3"/>
      <c r="K7" s="3"/>
      <c r="L7" s="21"/>
      <c r="M7" s="22"/>
      <c r="N7" s="3"/>
      <c r="O7" s="3"/>
      <c r="P7" s="21"/>
      <c r="Q7" s="22"/>
      <c r="R7" s="3"/>
      <c r="S7" s="3"/>
      <c r="T7" s="21"/>
      <c r="U7" s="22"/>
      <c r="V7" s="3"/>
      <c r="W7" s="3"/>
      <c r="X7" s="21"/>
      <c r="Y7" s="22"/>
      <c r="Z7" s="3"/>
      <c r="AA7" s="3"/>
      <c r="AB7" s="21"/>
      <c r="AC7" s="22"/>
      <c r="AD7" s="3"/>
      <c r="AE7" s="3"/>
      <c r="AF7" s="21"/>
      <c r="AG7" s="22"/>
      <c r="AH7" s="3"/>
      <c r="AI7" s="3"/>
      <c r="AJ7" s="21"/>
      <c r="AK7" s="22"/>
      <c r="AL7" s="3"/>
      <c r="AM7" s="3"/>
      <c r="AN7" s="21"/>
    </row>
    <row r="8" spans="1:40" x14ac:dyDescent="0.25">
      <c r="A8" s="22" t="s">
        <v>88</v>
      </c>
      <c r="B8" s="3">
        <v>26</v>
      </c>
      <c r="C8" s="3">
        <v>16</v>
      </c>
      <c r="D8" s="21"/>
      <c r="E8" s="22"/>
      <c r="F8" s="3">
        <v>26</v>
      </c>
      <c r="G8" s="3">
        <v>16</v>
      </c>
      <c r="H8" s="21"/>
      <c r="I8" s="22" t="s">
        <v>88</v>
      </c>
      <c r="J8" s="3"/>
      <c r="K8" s="3"/>
      <c r="L8" s="21"/>
      <c r="M8" s="22"/>
      <c r="N8" s="3"/>
      <c r="O8" s="3"/>
      <c r="P8" s="21"/>
      <c r="Q8" s="22"/>
      <c r="R8" s="3"/>
      <c r="S8" s="3"/>
      <c r="T8" s="21"/>
      <c r="U8" s="22"/>
      <c r="V8" s="3"/>
      <c r="W8" s="3"/>
      <c r="X8" s="21"/>
      <c r="Y8" s="22"/>
      <c r="Z8" s="3"/>
      <c r="AA8" s="3"/>
      <c r="AB8" s="21"/>
      <c r="AC8" s="22"/>
      <c r="AD8" s="3"/>
      <c r="AE8" s="3"/>
      <c r="AF8" s="21"/>
      <c r="AG8" s="22"/>
      <c r="AH8" s="3"/>
      <c r="AI8" s="3"/>
      <c r="AJ8" s="21"/>
      <c r="AK8" s="22"/>
      <c r="AL8" s="3"/>
      <c r="AM8" s="3"/>
      <c r="AN8" s="21"/>
    </row>
    <row r="9" spans="1:40" x14ac:dyDescent="0.25">
      <c r="A9" s="22" t="s">
        <v>89</v>
      </c>
      <c r="B9" s="3">
        <v>26</v>
      </c>
      <c r="C9" s="3">
        <v>16</v>
      </c>
      <c r="D9" s="21"/>
      <c r="E9" s="22"/>
      <c r="F9" s="3">
        <v>26</v>
      </c>
      <c r="G9" s="3">
        <v>16</v>
      </c>
      <c r="H9" s="21"/>
      <c r="I9" s="22" t="s">
        <v>89</v>
      </c>
      <c r="J9" s="3"/>
      <c r="K9" s="3"/>
      <c r="L9" s="21"/>
      <c r="M9" s="22"/>
      <c r="N9" s="3"/>
      <c r="O9" s="3"/>
      <c r="P9" s="21"/>
      <c r="Q9" s="22"/>
      <c r="R9" s="3"/>
      <c r="S9" s="3"/>
      <c r="T9" s="21"/>
      <c r="U9" s="22"/>
      <c r="V9" s="3"/>
      <c r="W9" s="3"/>
      <c r="X9" s="21"/>
      <c r="Y9" s="22"/>
      <c r="Z9" s="3"/>
      <c r="AA9" s="3"/>
      <c r="AB9" s="21"/>
      <c r="AC9" s="22"/>
      <c r="AD9" s="3"/>
      <c r="AE9" s="3"/>
      <c r="AF9" s="21"/>
      <c r="AG9" s="22"/>
      <c r="AH9" s="3"/>
      <c r="AI9" s="3"/>
      <c r="AJ9" s="21"/>
      <c r="AK9" s="22"/>
      <c r="AL9" s="3"/>
      <c r="AM9" s="3"/>
      <c r="AN9" s="21"/>
    </row>
    <row r="10" spans="1:40" x14ac:dyDescent="0.25">
      <c r="A10" s="22" t="s">
        <v>90</v>
      </c>
      <c r="B10" s="3">
        <v>26</v>
      </c>
      <c r="C10" s="3">
        <v>16</v>
      </c>
      <c r="D10" s="21"/>
      <c r="E10" s="22"/>
      <c r="F10" s="3">
        <v>26</v>
      </c>
      <c r="G10" s="3">
        <v>16</v>
      </c>
      <c r="H10" s="21"/>
      <c r="I10" s="22" t="s">
        <v>90</v>
      </c>
      <c r="J10" s="3"/>
      <c r="K10" s="3"/>
      <c r="L10" s="21"/>
      <c r="M10" s="22"/>
      <c r="N10" s="3"/>
      <c r="O10" s="3"/>
      <c r="P10" s="21"/>
      <c r="Q10" s="22"/>
      <c r="R10" s="3"/>
      <c r="S10" s="3"/>
      <c r="T10" s="21"/>
      <c r="U10" s="22"/>
      <c r="V10" s="3"/>
      <c r="W10" s="3"/>
      <c r="X10" s="21"/>
      <c r="Y10" s="22"/>
      <c r="Z10" s="3"/>
      <c r="AA10" s="3"/>
      <c r="AB10" s="21"/>
      <c r="AC10" s="22"/>
      <c r="AD10" s="3"/>
      <c r="AE10" s="3"/>
      <c r="AF10" s="21"/>
      <c r="AG10" s="22"/>
      <c r="AH10" s="3"/>
      <c r="AI10" s="3"/>
      <c r="AJ10" s="21"/>
      <c r="AK10" s="22"/>
      <c r="AL10" s="3"/>
      <c r="AM10" s="3"/>
      <c r="AN10" s="21"/>
    </row>
    <row r="11" spans="1:40" x14ac:dyDescent="0.25">
      <c r="A11" s="22"/>
      <c r="B11" s="3">
        <v>26</v>
      </c>
      <c r="C11" s="3">
        <v>16</v>
      </c>
      <c r="D11" s="21"/>
      <c r="E11" s="22"/>
      <c r="F11" s="3">
        <v>26</v>
      </c>
      <c r="G11" s="3">
        <v>16</v>
      </c>
      <c r="H11" s="21"/>
      <c r="I11" s="22"/>
      <c r="J11" s="3"/>
      <c r="K11" s="3"/>
      <c r="L11" s="21"/>
      <c r="M11" s="22"/>
      <c r="N11" s="3"/>
      <c r="O11" s="3"/>
      <c r="P11" s="21"/>
      <c r="Q11" s="22"/>
      <c r="R11" s="3"/>
      <c r="S11" s="3"/>
      <c r="T11" s="21"/>
      <c r="U11" s="22"/>
      <c r="V11" s="3"/>
      <c r="W11" s="3"/>
      <c r="X11" s="21"/>
      <c r="Y11" s="22"/>
      <c r="Z11" s="3"/>
      <c r="AA11" s="3"/>
      <c r="AB11" s="21"/>
      <c r="AC11" s="22"/>
      <c r="AD11" s="3"/>
      <c r="AE11" s="3"/>
      <c r="AF11" s="21"/>
      <c r="AG11" s="22"/>
      <c r="AH11" s="3"/>
      <c r="AI11" s="3"/>
      <c r="AJ11" s="21"/>
      <c r="AK11" s="22"/>
      <c r="AL11" s="3"/>
      <c r="AM11" s="3"/>
      <c r="AN11" s="21"/>
    </row>
    <row r="12" spans="1:40" x14ac:dyDescent="0.25">
      <c r="A12" s="22"/>
      <c r="B12" s="3">
        <v>26</v>
      </c>
      <c r="C12" s="3">
        <v>16</v>
      </c>
      <c r="D12" s="21"/>
      <c r="E12" s="22"/>
      <c r="F12" s="3">
        <v>26</v>
      </c>
      <c r="G12" s="3">
        <v>16</v>
      </c>
      <c r="H12" s="21"/>
      <c r="I12" s="22"/>
      <c r="J12" s="3"/>
      <c r="K12" s="3"/>
      <c r="L12" s="21"/>
      <c r="M12" s="22"/>
      <c r="N12" s="3"/>
      <c r="O12" s="3"/>
      <c r="P12" s="21"/>
      <c r="Q12" s="22"/>
      <c r="R12" s="3"/>
      <c r="S12" s="3"/>
      <c r="T12" s="21"/>
      <c r="U12" s="22"/>
      <c r="V12" s="3"/>
      <c r="W12" s="3"/>
      <c r="X12" s="21"/>
      <c r="Y12" s="22"/>
      <c r="Z12" s="3"/>
      <c r="AA12" s="3"/>
      <c r="AB12" s="21"/>
      <c r="AC12" s="22"/>
      <c r="AD12" s="3"/>
      <c r="AE12" s="3"/>
      <c r="AF12" s="21"/>
      <c r="AG12" s="22"/>
      <c r="AH12" s="3"/>
      <c r="AI12" s="3"/>
      <c r="AJ12" s="21"/>
      <c r="AK12" s="22"/>
      <c r="AL12" s="3"/>
      <c r="AM12" s="3"/>
      <c r="AN12" s="21"/>
    </row>
    <row r="13" spans="1:40" ht="15.75" thickBot="1" x14ac:dyDescent="0.3">
      <c r="A13" s="23"/>
      <c r="B13" s="24">
        <v>26</v>
      </c>
      <c r="C13" s="24">
        <v>16</v>
      </c>
      <c r="D13" s="25"/>
      <c r="E13" s="23"/>
      <c r="F13" s="24">
        <v>26</v>
      </c>
      <c r="G13" s="24">
        <v>16</v>
      </c>
      <c r="H13" s="25"/>
      <c r="I13" s="23"/>
      <c r="J13" s="24"/>
      <c r="K13" s="24"/>
      <c r="L13" s="25"/>
      <c r="M13" s="23"/>
      <c r="N13" s="24"/>
      <c r="O13" s="24"/>
      <c r="P13" s="25"/>
      <c r="Q13" s="23"/>
      <c r="R13" s="24"/>
      <c r="S13" s="24"/>
      <c r="T13" s="25"/>
      <c r="U13" s="23"/>
      <c r="V13" s="24"/>
      <c r="W13" s="24"/>
      <c r="X13" s="25"/>
      <c r="Y13" s="23"/>
      <c r="Z13" s="24"/>
      <c r="AA13" s="24"/>
      <c r="AB13" s="25"/>
      <c r="AC13" s="23"/>
      <c r="AD13" s="24"/>
      <c r="AE13" s="24"/>
      <c r="AF13" s="25"/>
      <c r="AG13" s="23"/>
      <c r="AH13" s="24"/>
      <c r="AI13" s="24"/>
      <c r="AJ13" s="25"/>
      <c r="AK13" s="23"/>
      <c r="AL13" s="24"/>
      <c r="AM13" s="24"/>
      <c r="AN13" s="25"/>
    </row>
    <row r="14" spans="1:40" ht="15.75" thickTop="1" x14ac:dyDescent="0.25">
      <c r="A14" s="1" t="s">
        <v>91</v>
      </c>
      <c r="E14" s="1" t="s">
        <v>91</v>
      </c>
      <c r="I14" s="1" t="s">
        <v>91</v>
      </c>
      <c r="M14" s="1" t="s">
        <v>91</v>
      </c>
      <c r="Q14" s="1" t="s">
        <v>91</v>
      </c>
      <c r="U14" s="1" t="s">
        <v>91</v>
      </c>
      <c r="Y14" s="1" t="s">
        <v>91</v>
      </c>
      <c r="AC14" s="1" t="s">
        <v>91</v>
      </c>
      <c r="AG14" s="1" t="s">
        <v>91</v>
      </c>
      <c r="AK14" s="1" t="s">
        <v>91</v>
      </c>
    </row>
    <row r="15" spans="1:40" x14ac:dyDescent="0.25">
      <c r="A15" s="3" t="s">
        <v>1</v>
      </c>
      <c r="E15" s="3" t="s">
        <v>105</v>
      </c>
      <c r="I15" s="3" t="s">
        <v>166</v>
      </c>
      <c r="M15" s="3"/>
      <c r="Q15" s="3"/>
      <c r="U15" s="3" t="s">
        <v>24</v>
      </c>
      <c r="Y15" s="3"/>
      <c r="AC15" s="3"/>
      <c r="AG15" s="3"/>
      <c r="AK15" s="3"/>
    </row>
    <row r="16" spans="1:40" x14ac:dyDescent="0.25">
      <c r="A16" s="3" t="s">
        <v>2</v>
      </c>
      <c r="E16" s="3" t="s">
        <v>0</v>
      </c>
      <c r="I16" s="3" t="s">
        <v>167</v>
      </c>
      <c r="M16" s="3"/>
      <c r="Q16" s="3"/>
      <c r="U16" s="3" t="s">
        <v>25</v>
      </c>
      <c r="Y16" s="3"/>
      <c r="AC16" s="3"/>
      <c r="AG16" s="3"/>
      <c r="AK16" s="3"/>
    </row>
    <row r="17" spans="1:37" x14ac:dyDescent="0.25">
      <c r="A17" s="3" t="s">
        <v>0</v>
      </c>
      <c r="E17" s="3" t="s">
        <v>106</v>
      </c>
      <c r="I17" s="3" t="s">
        <v>168</v>
      </c>
      <c r="M17" s="3"/>
      <c r="Q17" s="3"/>
      <c r="U17" s="3" t="s">
        <v>93</v>
      </c>
      <c r="Y17" s="3"/>
      <c r="AC17" s="3"/>
      <c r="AG17" s="3"/>
      <c r="AK17" s="3"/>
    </row>
    <row r="18" spans="1:37" x14ac:dyDescent="0.25">
      <c r="A18" s="3" t="s">
        <v>3</v>
      </c>
      <c r="E18" s="3" t="s">
        <v>107</v>
      </c>
      <c r="I18" s="3" t="s">
        <v>24</v>
      </c>
      <c r="M18" s="3"/>
      <c r="Q18" s="3"/>
      <c r="U18" s="3" t="s">
        <v>27</v>
      </c>
      <c r="Y18" s="3"/>
      <c r="AC18" s="3"/>
      <c r="AG18" s="3"/>
      <c r="AK18" s="3"/>
    </row>
    <row r="19" spans="1:37" x14ac:dyDescent="0.25">
      <c r="A19" s="3" t="s">
        <v>4</v>
      </c>
      <c r="E19" s="3" t="s">
        <v>108</v>
      </c>
      <c r="I19" s="3"/>
      <c r="M19" s="3"/>
      <c r="Q19" s="3"/>
      <c r="U19" s="3" t="s">
        <v>94</v>
      </c>
      <c r="Y19" s="3"/>
      <c r="AC19" s="3"/>
      <c r="AG19" s="3"/>
      <c r="AK19" s="3"/>
    </row>
    <row r="20" spans="1:37" x14ac:dyDescent="0.25">
      <c r="A20" s="3"/>
      <c r="E20" s="3"/>
      <c r="I20" s="3"/>
      <c r="M20" s="3"/>
      <c r="Q20" s="3"/>
      <c r="U20" s="3"/>
      <c r="Y20" s="3"/>
      <c r="AC20" s="3"/>
      <c r="AG20" s="3"/>
      <c r="AK20" s="3"/>
    </row>
    <row r="21" spans="1:37" x14ac:dyDescent="0.25">
      <c r="A21" s="3"/>
      <c r="E21" s="3"/>
      <c r="I21" s="3"/>
      <c r="M21" s="3"/>
      <c r="Q21" s="3"/>
      <c r="U21" s="3"/>
      <c r="Y21" s="3"/>
      <c r="AC21" s="3"/>
      <c r="AG21" s="3"/>
      <c r="AK21" s="3"/>
    </row>
    <row r="22" spans="1:37" x14ac:dyDescent="0.25">
      <c r="A22" s="3"/>
      <c r="E22" s="3"/>
      <c r="I22" s="3"/>
      <c r="M22" s="3"/>
      <c r="Q22" s="3"/>
      <c r="U22" s="3"/>
      <c r="Y22" s="3"/>
      <c r="AC22" s="3"/>
      <c r="AG22" s="3"/>
      <c r="AK22" s="3"/>
    </row>
    <row r="23" spans="1:37" x14ac:dyDescent="0.25">
      <c r="A23" s="3"/>
      <c r="E23" s="3"/>
      <c r="I23" s="3"/>
      <c r="M23" s="3"/>
      <c r="Q23" s="3"/>
      <c r="U23" s="3"/>
      <c r="Y23" s="3"/>
      <c r="AC23" s="3"/>
      <c r="AG23" s="3"/>
      <c r="AK23" s="3"/>
    </row>
    <row r="24" spans="1:37" x14ac:dyDescent="0.25">
      <c r="A24" s="3"/>
      <c r="E24" s="3"/>
      <c r="I24" s="3"/>
      <c r="M24" s="3"/>
      <c r="Q24" s="3"/>
      <c r="U24" s="3"/>
      <c r="Y24" s="3"/>
      <c r="AC24" s="3"/>
      <c r="AG24" s="3"/>
      <c r="AK24" s="3"/>
    </row>
    <row r="25" spans="1:37" x14ac:dyDescent="0.25">
      <c r="A25" s="3"/>
      <c r="E25" s="3"/>
      <c r="I25" s="3"/>
      <c r="M25" s="3"/>
      <c r="Q25" s="3"/>
      <c r="U25" s="3"/>
      <c r="Y25" s="3"/>
      <c r="AC25" s="3"/>
      <c r="AG25" s="3"/>
      <c r="AK25" s="3"/>
    </row>
    <row r="26" spans="1:37" x14ac:dyDescent="0.25">
      <c r="A26" s="3"/>
      <c r="E26" s="3"/>
      <c r="I26" s="3"/>
      <c r="M26" s="3"/>
      <c r="Q26" s="3"/>
      <c r="U26" s="3"/>
      <c r="Y26" s="3"/>
      <c r="AC26" s="3"/>
      <c r="AG26" s="3"/>
      <c r="AK26" s="3"/>
    </row>
    <row r="27" spans="1:37" x14ac:dyDescent="0.25">
      <c r="A27" s="3"/>
      <c r="E27" s="3"/>
      <c r="I27" s="3"/>
      <c r="M27" s="3"/>
      <c r="Q27" s="3"/>
      <c r="U27" s="3"/>
      <c r="Y27" s="3"/>
      <c r="AC27" s="3"/>
      <c r="AG27" s="3"/>
      <c r="AK27" s="3"/>
    </row>
    <row r="28" spans="1:37" x14ac:dyDescent="0.25">
      <c r="A28" s="3"/>
      <c r="E28" s="3"/>
      <c r="I28" s="3"/>
      <c r="M28" s="3"/>
      <c r="Q28" s="3"/>
      <c r="U28" s="3"/>
      <c r="Y28" s="3"/>
      <c r="AC28" s="3"/>
      <c r="AG28" s="3"/>
      <c r="AK28" s="3"/>
    </row>
    <row r="29" spans="1:37" x14ac:dyDescent="0.25">
      <c r="A29" s="3"/>
      <c r="E29" s="3"/>
      <c r="I29" s="3"/>
      <c r="M29" s="3"/>
      <c r="Q29" s="3"/>
      <c r="U29" s="3"/>
      <c r="Y29" s="3"/>
      <c r="AC29" s="3"/>
      <c r="AG29" s="3"/>
      <c r="AK29" s="3"/>
    </row>
    <row r="30" spans="1:37" x14ac:dyDescent="0.25">
      <c r="A30" s="3"/>
      <c r="E30" s="3"/>
      <c r="I30" s="3"/>
      <c r="M30" s="3"/>
      <c r="Q30" s="3"/>
      <c r="U30" s="3"/>
      <c r="Y30" s="3"/>
      <c r="AC30" s="3"/>
      <c r="AG30" s="3"/>
      <c r="AK30" s="3"/>
    </row>
    <row r="31" spans="1:37" x14ac:dyDescent="0.25">
      <c r="A31" s="3"/>
      <c r="E31" s="3"/>
      <c r="I31" s="3"/>
      <c r="M31" s="3"/>
      <c r="Q31" s="3"/>
      <c r="U31" s="3"/>
      <c r="Y31" s="3"/>
      <c r="AC31" s="3"/>
      <c r="AG31" s="3"/>
      <c r="AK31" s="3"/>
    </row>
    <row r="32" spans="1:37" x14ac:dyDescent="0.25">
      <c r="A32" s="3"/>
      <c r="E32" s="3"/>
      <c r="I32" s="3"/>
      <c r="M32" s="3"/>
      <c r="Q32" s="3"/>
      <c r="U32" s="3"/>
      <c r="Y32" s="3"/>
      <c r="AC32" s="3"/>
      <c r="AG32" s="3"/>
      <c r="AK32" s="3"/>
    </row>
    <row r="33" spans="1:37" x14ac:dyDescent="0.25">
      <c r="A33" s="3"/>
      <c r="E33" s="3"/>
      <c r="I33" s="3"/>
      <c r="M33" s="3"/>
      <c r="Q33" s="3"/>
      <c r="U33" s="3"/>
      <c r="Y33" s="3"/>
      <c r="AC33" s="3"/>
      <c r="AG33" s="3"/>
      <c r="AK33" s="3"/>
    </row>
    <row r="34" spans="1:37" x14ac:dyDescent="0.25">
      <c r="A34" s="3"/>
      <c r="E34" s="3"/>
      <c r="I34" s="3"/>
      <c r="M34" s="3"/>
      <c r="Q34" s="3"/>
      <c r="U34" s="3"/>
      <c r="Y34" s="3"/>
      <c r="AC34" s="3"/>
      <c r="AG34" s="3"/>
      <c r="AK34" s="3"/>
    </row>
    <row r="35" spans="1:37" x14ac:dyDescent="0.25">
      <c r="A35" s="1" t="s">
        <v>92</v>
      </c>
      <c r="E35" s="1" t="s">
        <v>92</v>
      </c>
      <c r="I35" s="1" t="s">
        <v>92</v>
      </c>
      <c r="M35" s="1" t="s">
        <v>92</v>
      </c>
      <c r="Q35" s="1" t="s">
        <v>92</v>
      </c>
      <c r="U35" s="1" t="s">
        <v>92</v>
      </c>
      <c r="Y35" s="1" t="s">
        <v>92</v>
      </c>
      <c r="AC35" s="1" t="s">
        <v>92</v>
      </c>
      <c r="AG35" s="1" t="s">
        <v>92</v>
      </c>
      <c r="AK35" s="1" t="s">
        <v>92</v>
      </c>
    </row>
    <row r="36" spans="1:37" x14ac:dyDescent="0.25">
      <c r="A36" s="3" t="s">
        <v>2</v>
      </c>
      <c r="E36" s="3" t="s">
        <v>0</v>
      </c>
      <c r="I36" s="3" t="s">
        <v>167</v>
      </c>
      <c r="M36" s="3"/>
      <c r="Q36" s="3"/>
      <c r="U36" s="3" t="s">
        <v>25</v>
      </c>
      <c r="Y36" s="3"/>
      <c r="AC36" s="3"/>
      <c r="AG36" s="3"/>
      <c r="AK36" s="3"/>
    </row>
    <row r="37" spans="1:37" x14ac:dyDescent="0.25">
      <c r="A37" s="3" t="s">
        <v>0</v>
      </c>
      <c r="E37" s="3" t="s">
        <v>106</v>
      </c>
      <c r="I37" s="3" t="s">
        <v>168</v>
      </c>
      <c r="M37" s="3"/>
      <c r="Q37" s="3"/>
      <c r="U37" s="3" t="s">
        <v>93</v>
      </c>
      <c r="Y37" s="3"/>
      <c r="AC37" s="3"/>
      <c r="AG37" s="3"/>
      <c r="AK37" s="3"/>
    </row>
    <row r="38" spans="1:37" x14ac:dyDescent="0.25">
      <c r="A38" s="3" t="s">
        <v>3</v>
      </c>
      <c r="E38" s="3" t="s">
        <v>107</v>
      </c>
      <c r="I38" s="3" t="s">
        <v>24</v>
      </c>
      <c r="M38" s="3"/>
      <c r="Q38" s="3"/>
      <c r="U38" s="3" t="s">
        <v>27</v>
      </c>
      <c r="Y38" s="3"/>
      <c r="AC38" s="3"/>
      <c r="AG38" s="3"/>
      <c r="AK38" s="3"/>
    </row>
    <row r="39" spans="1:37" x14ac:dyDescent="0.25">
      <c r="A39" s="3" t="s">
        <v>4</v>
      </c>
      <c r="E39" s="3" t="s">
        <v>108</v>
      </c>
      <c r="I39" s="3"/>
      <c r="M39" s="3"/>
      <c r="Q39" s="3"/>
      <c r="U39" s="3" t="s">
        <v>94</v>
      </c>
      <c r="Y39" s="3"/>
      <c r="AC39" s="3"/>
      <c r="AG39" s="3"/>
      <c r="AK39" s="3"/>
    </row>
    <row r="40" spans="1:37" x14ac:dyDescent="0.25">
      <c r="A40" s="3"/>
      <c r="E40" s="3"/>
      <c r="I40" s="3"/>
      <c r="M40" s="3"/>
      <c r="Q40" s="3"/>
      <c r="U40" s="3"/>
      <c r="Y40" s="3"/>
      <c r="AC40" s="3"/>
      <c r="AG40" s="3"/>
      <c r="AK40" s="3"/>
    </row>
    <row r="41" spans="1:37" x14ac:dyDescent="0.25">
      <c r="A41" s="3"/>
      <c r="E41" s="3"/>
      <c r="I41" s="3"/>
      <c r="M41" s="3"/>
      <c r="Q41" s="3"/>
      <c r="U41" s="3"/>
      <c r="Y41" s="3"/>
      <c r="AC41" s="3"/>
      <c r="AG41" s="3"/>
      <c r="AK41" s="3"/>
    </row>
    <row r="42" spans="1:37" x14ac:dyDescent="0.25">
      <c r="A42" s="3"/>
      <c r="E42" s="3"/>
      <c r="I42" s="3"/>
      <c r="M42" s="3"/>
      <c r="Q42" s="3"/>
      <c r="U42" s="3"/>
      <c r="Y42" s="3"/>
      <c r="AC42" s="3"/>
      <c r="AG42" s="3"/>
      <c r="AK42" s="3"/>
    </row>
    <row r="43" spans="1:37" x14ac:dyDescent="0.25">
      <c r="A43" s="3"/>
      <c r="E43" s="3"/>
      <c r="I43" s="3"/>
      <c r="M43" s="3"/>
      <c r="Q43" s="3"/>
      <c r="U43" s="3"/>
      <c r="Y43" s="3"/>
      <c r="AC43" s="3"/>
      <c r="AG43" s="3"/>
      <c r="AK43" s="3"/>
    </row>
    <row r="44" spans="1:37" x14ac:dyDescent="0.25">
      <c r="A44" s="3"/>
      <c r="E44" s="3"/>
      <c r="I44" s="3"/>
      <c r="M44" s="3"/>
      <c r="Q44" s="3"/>
      <c r="U44" s="3"/>
      <c r="Y44" s="3"/>
      <c r="AC44" s="3"/>
      <c r="AG44" s="3"/>
      <c r="AK44" s="3"/>
    </row>
    <row r="45" spans="1:37" x14ac:dyDescent="0.25">
      <c r="A45" s="3"/>
      <c r="E45" s="3"/>
      <c r="I45" s="3"/>
      <c r="M45" s="3"/>
      <c r="Q45" s="3"/>
      <c r="U45" s="3"/>
      <c r="Y45" s="3"/>
      <c r="AC45" s="3"/>
      <c r="AG45" s="3"/>
      <c r="AK45" s="3"/>
    </row>
    <row r="46" spans="1:37" x14ac:dyDescent="0.25">
      <c r="A46" s="3"/>
      <c r="E46" s="3"/>
      <c r="I46" s="3"/>
      <c r="M46" s="3"/>
      <c r="Q46" s="3"/>
      <c r="U46" s="3"/>
      <c r="Y46" s="3"/>
      <c r="AC46" s="3"/>
      <c r="AG46" s="3"/>
      <c r="AK46" s="3"/>
    </row>
    <row r="47" spans="1:37" x14ac:dyDescent="0.25">
      <c r="A47" s="3"/>
      <c r="E47" s="3"/>
      <c r="I47" s="3"/>
      <c r="M47" s="3"/>
      <c r="Q47" s="3"/>
      <c r="U47" s="3"/>
      <c r="Y47" s="3"/>
      <c r="AC47" s="3"/>
      <c r="AG47" s="3"/>
      <c r="AK47" s="3"/>
    </row>
    <row r="48" spans="1:37" x14ac:dyDescent="0.25">
      <c r="A48" s="3"/>
      <c r="E48" s="3"/>
      <c r="I48" s="3"/>
      <c r="M48" s="3"/>
      <c r="Q48" s="3"/>
      <c r="U48" s="3"/>
      <c r="Y48" s="3"/>
      <c r="AC48" s="3"/>
      <c r="AG48" s="3"/>
      <c r="AK48" s="3"/>
    </row>
    <row r="49" spans="1:37" x14ac:dyDescent="0.25">
      <c r="A49" s="3"/>
      <c r="E49" s="3"/>
      <c r="I49" s="3"/>
      <c r="M49" s="3"/>
      <c r="Q49" s="3"/>
      <c r="U49" s="3"/>
      <c r="Y49" s="3"/>
      <c r="AC49" s="3"/>
      <c r="AG49" s="3"/>
      <c r="AK49" s="3"/>
    </row>
    <row r="50" spans="1:37" x14ac:dyDescent="0.25">
      <c r="A50" s="3"/>
      <c r="E50" s="3"/>
      <c r="I50" s="3"/>
      <c r="M50" s="3"/>
      <c r="Q50" s="3"/>
      <c r="U50" s="3"/>
      <c r="Y50" s="3"/>
      <c r="AC50" s="3"/>
      <c r="AG50" s="3"/>
      <c r="AK50" s="3"/>
    </row>
    <row r="51" spans="1:37" x14ac:dyDescent="0.25">
      <c r="A51" s="3"/>
      <c r="E51" s="3"/>
      <c r="I51" s="3"/>
      <c r="M51" s="3"/>
      <c r="Q51" s="3"/>
      <c r="U51" s="3"/>
      <c r="Y51" s="3"/>
      <c r="AC51" s="3"/>
      <c r="AG51" s="3"/>
      <c r="AK51" s="3"/>
    </row>
    <row r="52" spans="1:37" x14ac:dyDescent="0.25">
      <c r="A52" s="3"/>
      <c r="E52" s="3"/>
      <c r="I52" s="3"/>
      <c r="M52" s="3"/>
      <c r="Q52" s="3"/>
      <c r="U52" s="3"/>
      <c r="Y52" s="3"/>
      <c r="AC52" s="3"/>
      <c r="AG52" s="3"/>
      <c r="AK52" s="3"/>
    </row>
    <row r="53" spans="1:37" x14ac:dyDescent="0.25">
      <c r="A53" s="3"/>
      <c r="E53" s="3"/>
      <c r="I53" s="3"/>
      <c r="M53" s="3"/>
      <c r="Q53" s="3"/>
      <c r="U53" s="3"/>
      <c r="Y53" s="3"/>
      <c r="AC53" s="3"/>
      <c r="AG53" s="3"/>
      <c r="AK53" s="3"/>
    </row>
    <row r="54" spans="1:37" x14ac:dyDescent="0.25">
      <c r="A54" s="3"/>
      <c r="E54" s="3"/>
      <c r="I54" s="3"/>
      <c r="M54" s="3"/>
      <c r="Q54" s="3"/>
      <c r="U54" s="3"/>
      <c r="Y54" s="3"/>
      <c r="AC54" s="3"/>
      <c r="AG54" s="3"/>
      <c r="AK54" s="3"/>
    </row>
    <row r="55" spans="1:37" x14ac:dyDescent="0.25">
      <c r="A55" s="3"/>
      <c r="E55" s="3"/>
      <c r="I55" s="3"/>
      <c r="M55" s="3"/>
      <c r="Q55" s="3"/>
      <c r="U55" s="3"/>
      <c r="Y55" s="3"/>
      <c r="AC55" s="3"/>
      <c r="AG55" s="3"/>
      <c r="AK55" s="3"/>
    </row>
    <row r="56" spans="1:37" x14ac:dyDescent="0.25">
      <c r="A56" s="1" t="s">
        <v>97</v>
      </c>
      <c r="E56" s="1" t="s">
        <v>97</v>
      </c>
      <c r="I56" s="1" t="s">
        <v>97</v>
      </c>
      <c r="M56" s="1" t="s">
        <v>97</v>
      </c>
      <c r="Q56" s="1" t="s">
        <v>97</v>
      </c>
      <c r="U56" s="1" t="s">
        <v>97</v>
      </c>
      <c r="Y56" s="1" t="s">
        <v>97</v>
      </c>
      <c r="AC56" s="1" t="s">
        <v>97</v>
      </c>
      <c r="AG56" s="1" t="s">
        <v>97</v>
      </c>
      <c r="AK56" s="1" t="s">
        <v>97</v>
      </c>
    </row>
    <row r="57" spans="1:37" x14ac:dyDescent="0.25">
      <c r="A57" s="3" t="s">
        <v>0</v>
      </c>
      <c r="E57" s="3" t="s">
        <v>0</v>
      </c>
      <c r="I57" s="3" t="s">
        <v>168</v>
      </c>
      <c r="M57" s="3"/>
      <c r="Q57" s="3"/>
      <c r="U57" s="3" t="s">
        <v>27</v>
      </c>
      <c r="Y57" s="3"/>
      <c r="AC57" s="3"/>
      <c r="AG57" s="3"/>
      <c r="AK57" s="3"/>
    </row>
    <row r="58" spans="1:37" x14ac:dyDescent="0.25">
      <c r="A58" s="3"/>
      <c r="E58" s="3"/>
      <c r="I58" s="3"/>
      <c r="M58" s="3"/>
      <c r="Q58" s="3"/>
      <c r="U58" s="3"/>
      <c r="Y58" s="3"/>
      <c r="AC58" s="3"/>
      <c r="AG58" s="3"/>
      <c r="AK58" s="3"/>
    </row>
    <row r="59" spans="1:37" x14ac:dyDescent="0.25">
      <c r="A59" s="3"/>
      <c r="E59" s="3"/>
      <c r="I59" s="3"/>
      <c r="M59" s="3"/>
      <c r="Q59" s="3"/>
      <c r="U59" s="3"/>
      <c r="Y59" s="3"/>
      <c r="AC59" s="3"/>
      <c r="AG59" s="3"/>
      <c r="AK59" s="3"/>
    </row>
    <row r="60" spans="1:37" x14ac:dyDescent="0.25">
      <c r="A60" s="3"/>
      <c r="E60" s="3"/>
      <c r="I60" s="3"/>
      <c r="M60" s="3"/>
      <c r="Q60" s="3"/>
      <c r="U60" s="3"/>
      <c r="Y60" s="3"/>
      <c r="AC60" s="3"/>
      <c r="AG60" s="3"/>
      <c r="AK60" s="3"/>
    </row>
    <row r="61" spans="1:37" x14ac:dyDescent="0.25">
      <c r="A61" s="3"/>
      <c r="E61" s="3"/>
      <c r="I61" s="3"/>
      <c r="M61" s="3"/>
      <c r="Q61" s="3"/>
      <c r="U61" s="3"/>
      <c r="Y61" s="3"/>
      <c r="AC61" s="3"/>
      <c r="AG61" s="3"/>
      <c r="AK61" s="3"/>
    </row>
    <row r="62" spans="1:37" x14ac:dyDescent="0.25">
      <c r="A62" s="3"/>
      <c r="E62" s="3"/>
      <c r="I62" s="3"/>
      <c r="M62" s="3"/>
      <c r="Q62" s="3"/>
      <c r="U62" s="3"/>
      <c r="Y62" s="3"/>
      <c r="AC62" s="3"/>
      <c r="AG62" s="3"/>
      <c r="AK62" s="3"/>
    </row>
    <row r="63" spans="1:37" x14ac:dyDescent="0.25">
      <c r="A63" s="3"/>
      <c r="E63" s="3"/>
      <c r="I63" s="3"/>
      <c r="M63" s="3"/>
      <c r="Q63" s="3"/>
      <c r="U63" s="3"/>
      <c r="Y63" s="3"/>
      <c r="AC63" s="3"/>
      <c r="AG63" s="3"/>
      <c r="AK63" s="3"/>
    </row>
    <row r="64" spans="1:37" x14ac:dyDescent="0.25">
      <c r="A64" s="3"/>
      <c r="E64" s="3"/>
      <c r="I64" s="3"/>
      <c r="M64" s="3"/>
      <c r="Q64" s="3"/>
      <c r="U64" s="3"/>
      <c r="Y64" s="3"/>
      <c r="AC64" s="3"/>
      <c r="AG64" s="3"/>
      <c r="AK64" s="3"/>
    </row>
    <row r="65" spans="1:37" x14ac:dyDescent="0.25">
      <c r="A65" s="3"/>
      <c r="E65" s="3"/>
      <c r="I65" s="3"/>
      <c r="M65" s="3"/>
      <c r="Q65" s="3"/>
      <c r="U65" s="3"/>
      <c r="Y65" s="3"/>
      <c r="AC65" s="3"/>
      <c r="AG65" s="3"/>
      <c r="AK65" s="3"/>
    </row>
    <row r="66" spans="1:37" x14ac:dyDescent="0.25">
      <c r="A66" s="3"/>
      <c r="E66" s="3"/>
      <c r="I66" s="3"/>
      <c r="M66" s="3"/>
      <c r="Q66" s="3"/>
      <c r="U66" s="3"/>
      <c r="Y66" s="3"/>
      <c r="AC66" s="3"/>
      <c r="AG66" s="3"/>
      <c r="AK66" s="3"/>
    </row>
    <row r="67" spans="1:37" x14ac:dyDescent="0.25">
      <c r="A67" s="3"/>
      <c r="E67" s="3"/>
      <c r="I67" s="3"/>
      <c r="M67" s="3"/>
      <c r="Q67" s="3"/>
      <c r="U67" s="3"/>
      <c r="Y67" s="3"/>
      <c r="AC67" s="3"/>
      <c r="AG67" s="3"/>
      <c r="AK67" s="3"/>
    </row>
    <row r="68" spans="1:37" x14ac:dyDescent="0.25">
      <c r="A68" s="3"/>
      <c r="E68" s="3"/>
      <c r="I68" s="3"/>
      <c r="M68" s="3"/>
      <c r="Q68" s="3"/>
      <c r="U68" s="3"/>
      <c r="Y68" s="3"/>
      <c r="AC68" s="3"/>
      <c r="AG68" s="3"/>
      <c r="AK68" s="3"/>
    </row>
    <row r="69" spans="1:37" x14ac:dyDescent="0.25">
      <c r="A69" s="3"/>
      <c r="E69" s="3"/>
      <c r="I69" s="3"/>
      <c r="M69" s="3"/>
      <c r="Q69" s="3"/>
      <c r="U69" s="3"/>
      <c r="Y69" s="3"/>
      <c r="AC69" s="3"/>
      <c r="AG69" s="3"/>
      <c r="AK69" s="3"/>
    </row>
    <row r="70" spans="1:37" x14ac:dyDescent="0.25">
      <c r="A70" s="3"/>
      <c r="E70" s="3"/>
      <c r="I70" s="3"/>
      <c r="M70" s="3"/>
      <c r="Q70" s="3"/>
      <c r="U70" s="3"/>
      <c r="Y70" s="3"/>
      <c r="AC70" s="3"/>
      <c r="AG70" s="3"/>
      <c r="AK70" s="3"/>
    </row>
    <row r="71" spans="1:37" x14ac:dyDescent="0.25">
      <c r="A71" s="3"/>
      <c r="E71" s="3"/>
      <c r="I71" s="3"/>
      <c r="M71" s="3"/>
      <c r="Q71" s="3"/>
      <c r="U71" s="3"/>
      <c r="Y71" s="3"/>
      <c r="AC71" s="3"/>
      <c r="AG71" s="3"/>
      <c r="AK71" s="3"/>
    </row>
    <row r="72" spans="1:37" x14ac:dyDescent="0.25">
      <c r="A72" s="3"/>
      <c r="E72" s="3"/>
      <c r="I72" s="3"/>
      <c r="M72" s="3"/>
      <c r="Q72" s="3"/>
      <c r="U72" s="3"/>
      <c r="Y72" s="3"/>
      <c r="AC72" s="3"/>
      <c r="AG72" s="3"/>
      <c r="AK72" s="3"/>
    </row>
    <row r="73" spans="1:37" x14ac:dyDescent="0.25">
      <c r="A73" s="3"/>
      <c r="E73" s="3"/>
      <c r="I73" s="3"/>
      <c r="M73" s="3"/>
      <c r="Q73" s="3"/>
      <c r="U73" s="3"/>
      <c r="Y73" s="3"/>
      <c r="AC73" s="3"/>
      <c r="AG73" s="3"/>
      <c r="AK73" s="3"/>
    </row>
    <row r="74" spans="1:37" x14ac:dyDescent="0.25">
      <c r="A74" s="3"/>
      <c r="E74" s="3"/>
      <c r="I74" s="3"/>
      <c r="M74" s="3"/>
      <c r="Q74" s="3"/>
      <c r="U74" s="3"/>
      <c r="Y74" s="3"/>
      <c r="AC74" s="3"/>
      <c r="AG74" s="3"/>
      <c r="AK74" s="3"/>
    </row>
    <row r="75" spans="1:37" x14ac:dyDescent="0.25">
      <c r="A75" s="3"/>
      <c r="E75" s="3"/>
      <c r="I75" s="3"/>
      <c r="M75" s="3"/>
      <c r="Q75" s="3"/>
      <c r="U75" s="3"/>
      <c r="Y75" s="3"/>
      <c r="AC75" s="3"/>
      <c r="AG75" s="3"/>
      <c r="AK75" s="3"/>
    </row>
    <row r="76" spans="1:37" x14ac:dyDescent="0.25">
      <c r="A76" s="3"/>
      <c r="E76" s="3"/>
      <c r="I76" s="3"/>
      <c r="M76" s="3"/>
      <c r="Q76" s="3"/>
      <c r="U76" s="3"/>
      <c r="Y76" s="3"/>
      <c r="AC76" s="3"/>
      <c r="AG76" s="3"/>
      <c r="AK76" s="3"/>
    </row>
    <row r="77" spans="1:37" x14ac:dyDescent="0.25">
      <c r="A77" s="1" t="s">
        <v>103</v>
      </c>
      <c r="E77" s="1" t="s">
        <v>103</v>
      </c>
      <c r="I77" s="1" t="s">
        <v>103</v>
      </c>
      <c r="M77" s="1" t="s">
        <v>103</v>
      </c>
      <c r="Q77" s="1" t="s">
        <v>103</v>
      </c>
      <c r="U77" s="1" t="s">
        <v>103</v>
      </c>
      <c r="Y77" s="1" t="s">
        <v>103</v>
      </c>
      <c r="AC77" s="1" t="s">
        <v>103</v>
      </c>
      <c r="AG77" s="1" t="s">
        <v>103</v>
      </c>
      <c r="AK77" s="1" t="s">
        <v>103</v>
      </c>
    </row>
    <row r="78" spans="1:37" x14ac:dyDescent="0.25">
      <c r="A78" s="3" t="s">
        <v>2</v>
      </c>
      <c r="E78" s="3" t="s">
        <v>109</v>
      </c>
      <c r="I78" s="3" t="s">
        <v>169</v>
      </c>
      <c r="M78" s="3"/>
      <c r="Q78" s="3"/>
      <c r="U78" s="3" t="s">
        <v>25</v>
      </c>
      <c r="Y78" s="3"/>
      <c r="AC78" s="3"/>
      <c r="AG78" s="3"/>
      <c r="AK78" s="3"/>
    </row>
    <row r="79" spans="1:37" x14ac:dyDescent="0.25">
      <c r="A79" s="3" t="s">
        <v>0</v>
      </c>
      <c r="E79" s="3" t="s">
        <v>106</v>
      </c>
      <c r="I79" s="3" t="s">
        <v>170</v>
      </c>
      <c r="M79" s="3"/>
      <c r="Q79" s="3"/>
      <c r="U79" s="3" t="s">
        <v>26</v>
      </c>
      <c r="Y79" s="3"/>
      <c r="AC79" s="3"/>
      <c r="AG79" s="3"/>
      <c r="AK79" s="3"/>
    </row>
    <row r="80" spans="1:37" x14ac:dyDescent="0.25">
      <c r="A80" s="3" t="s">
        <v>104</v>
      </c>
      <c r="E80" s="3" t="s">
        <v>107</v>
      </c>
      <c r="I80" s="3" t="s">
        <v>171</v>
      </c>
      <c r="M80" s="3"/>
      <c r="Q80" s="3"/>
      <c r="U80" s="3" t="s">
        <v>27</v>
      </c>
      <c r="Y80" s="3"/>
      <c r="AC80" s="3"/>
      <c r="AG80" s="3"/>
      <c r="AK80" s="3"/>
    </row>
    <row r="81" spans="1:37" x14ac:dyDescent="0.25">
      <c r="A81" s="3" t="s">
        <v>4</v>
      </c>
      <c r="E81" s="3" t="s">
        <v>108</v>
      </c>
      <c r="I81" s="3"/>
      <c r="M81" s="3"/>
      <c r="Q81" s="3"/>
      <c r="U81" s="3" t="s">
        <v>35</v>
      </c>
      <c r="Y81" s="3"/>
      <c r="AC81" s="3"/>
      <c r="AG81" s="3"/>
      <c r="AK81" s="3"/>
    </row>
    <row r="82" spans="1:37" x14ac:dyDescent="0.25">
      <c r="A82" s="3"/>
      <c r="E82" s="3"/>
      <c r="I82" s="3"/>
      <c r="M82" s="3"/>
      <c r="Q82" s="3"/>
      <c r="U82" s="3"/>
      <c r="Y82" s="3"/>
      <c r="AC82" s="3"/>
      <c r="AG82" s="3"/>
      <c r="AK82" s="3"/>
    </row>
    <row r="83" spans="1:37" x14ac:dyDescent="0.25">
      <c r="A83" s="3"/>
      <c r="E83" s="3"/>
      <c r="I83" s="3"/>
      <c r="M83" s="3"/>
      <c r="Q83" s="3"/>
      <c r="U83" s="3"/>
      <c r="Y83" s="3"/>
      <c r="AC83" s="3"/>
      <c r="AG83" s="3"/>
      <c r="AK83" s="3"/>
    </row>
    <row r="84" spans="1:37" x14ac:dyDescent="0.25">
      <c r="A84" s="3"/>
      <c r="E84" s="3"/>
      <c r="I84" s="3"/>
      <c r="M84" s="3"/>
      <c r="Q84" s="3"/>
      <c r="U84" s="3"/>
      <c r="Y84" s="3"/>
      <c r="AC84" s="3"/>
      <c r="AG84" s="3"/>
      <c r="AK84" s="3"/>
    </row>
    <row r="85" spans="1:37" x14ac:dyDescent="0.25">
      <c r="A85" s="3"/>
      <c r="E85" s="3"/>
      <c r="I85" s="3"/>
      <c r="M85" s="3"/>
      <c r="Q85" s="3"/>
      <c r="U85" s="3"/>
      <c r="Y85" s="3"/>
      <c r="AC85" s="3"/>
      <c r="AG85" s="3"/>
      <c r="AK85" s="3"/>
    </row>
    <row r="86" spans="1:37" x14ac:dyDescent="0.25">
      <c r="A86" s="3"/>
      <c r="E86" s="3"/>
      <c r="I86" s="3"/>
      <c r="M86" s="3"/>
      <c r="Q86" s="3"/>
      <c r="U86" s="3"/>
      <c r="Y86" s="3"/>
      <c r="AC86" s="3"/>
      <c r="AG86" s="3"/>
      <c r="AK86" s="3"/>
    </row>
    <row r="87" spans="1:37" x14ac:dyDescent="0.25">
      <c r="A87" s="3"/>
      <c r="E87" s="3"/>
      <c r="I87" s="3"/>
      <c r="M87" s="3"/>
      <c r="Q87" s="3"/>
      <c r="U87" s="3"/>
      <c r="Y87" s="3"/>
      <c r="AC87" s="3"/>
      <c r="AG87" s="3"/>
      <c r="AK87" s="3"/>
    </row>
    <row r="88" spans="1:37" x14ac:dyDescent="0.25">
      <c r="A88" s="85"/>
      <c r="C88"/>
      <c r="D88"/>
      <c r="E88" s="85"/>
      <c r="F88"/>
      <c r="G88"/>
      <c r="H88"/>
      <c r="I88" s="85"/>
      <c r="J88"/>
      <c r="M88" s="85"/>
      <c r="Q88" s="85"/>
      <c r="U88" s="85"/>
      <c r="Y88" s="85"/>
      <c r="AC88" s="85"/>
      <c r="AG88" s="85"/>
      <c r="AK88" s="85"/>
    </row>
    <row r="89" spans="1:37" x14ac:dyDescent="0.25">
      <c r="A89" s="3"/>
      <c r="E89" s="3"/>
      <c r="I89" s="3"/>
      <c r="M89" s="3"/>
      <c r="Q89" s="3"/>
      <c r="U89" s="3"/>
      <c r="Y89" s="3"/>
      <c r="AC89" s="3"/>
      <c r="AG89" s="3"/>
      <c r="AK89" s="3"/>
    </row>
    <row r="90" spans="1:37" x14ac:dyDescent="0.25">
      <c r="A90" s="3"/>
      <c r="E90" s="3"/>
      <c r="I90" s="3"/>
      <c r="M90" s="3"/>
      <c r="Q90" s="3"/>
      <c r="U90" s="3"/>
      <c r="Y90" s="3"/>
      <c r="AC90" s="3"/>
      <c r="AG90" s="3"/>
      <c r="AK90" s="3"/>
    </row>
    <row r="91" spans="1:37" x14ac:dyDescent="0.25">
      <c r="A91" s="3"/>
      <c r="E91" s="3"/>
      <c r="I91" s="3"/>
      <c r="M91" s="3"/>
      <c r="Q91" s="3"/>
      <c r="U91" s="3"/>
      <c r="Y91" s="3"/>
      <c r="AC91" s="3"/>
      <c r="AG91" s="3"/>
      <c r="AK91" s="3"/>
    </row>
    <row r="92" spans="1:37" x14ac:dyDescent="0.25">
      <c r="A92" s="3"/>
      <c r="E92" s="3"/>
      <c r="I92" s="3"/>
      <c r="M92" s="3"/>
      <c r="Q92" s="3"/>
      <c r="U92" s="3"/>
      <c r="Y92" s="3"/>
      <c r="AC92" s="3"/>
      <c r="AG92" s="3"/>
      <c r="AK92" s="3"/>
    </row>
    <row r="93" spans="1:37" x14ac:dyDescent="0.25">
      <c r="A93" s="3"/>
      <c r="E93" s="3"/>
      <c r="I93" s="3"/>
      <c r="M93" s="3"/>
      <c r="Q93" s="3"/>
      <c r="U93" s="3"/>
      <c r="Y93" s="3"/>
      <c r="AC93" s="3"/>
      <c r="AG93" s="3"/>
      <c r="AK93" s="3"/>
    </row>
    <row r="94" spans="1:37" x14ac:dyDescent="0.25">
      <c r="A94" s="3"/>
      <c r="E94" s="3"/>
      <c r="I94" s="3"/>
      <c r="M94" s="3"/>
      <c r="Q94" s="3"/>
      <c r="U94" s="3"/>
      <c r="Y94" s="3"/>
      <c r="AC94" s="3"/>
      <c r="AG94" s="3"/>
      <c r="AK94" s="3"/>
    </row>
    <row r="95" spans="1:37" x14ac:dyDescent="0.25">
      <c r="A95" s="3"/>
      <c r="E95" s="3"/>
      <c r="I95" s="3"/>
      <c r="M95" s="3"/>
      <c r="Q95" s="3"/>
      <c r="U95" s="3"/>
      <c r="Y95" s="3"/>
      <c r="AC95" s="3"/>
      <c r="AG95" s="3"/>
      <c r="AK95" s="3"/>
    </row>
    <row r="96" spans="1:37" x14ac:dyDescent="0.25">
      <c r="A96" s="3"/>
      <c r="E96" s="3"/>
      <c r="I96" s="3"/>
      <c r="M96" s="3"/>
      <c r="Q96" s="3"/>
      <c r="U96" s="3"/>
      <c r="Y96" s="3"/>
      <c r="AC96" s="3"/>
      <c r="AG96" s="3"/>
      <c r="AK96" s="3"/>
    </row>
    <row r="97" spans="1:37" x14ac:dyDescent="0.25">
      <c r="A97" s="3"/>
      <c r="E97" s="3"/>
      <c r="I97" s="3"/>
      <c r="M97" s="3"/>
      <c r="Q97" s="3"/>
      <c r="U97" s="3"/>
      <c r="Y97" s="3"/>
      <c r="AC97" s="3"/>
      <c r="AG97" s="3"/>
      <c r="AK9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03F9-344D-480C-BD37-17F3D23F6496}">
  <sheetPr codeName="Feuil10"/>
  <dimension ref="A1:N57"/>
  <sheetViews>
    <sheetView zoomScaleNormal="100" workbookViewId="0">
      <selection activeCell="E3" sqref="E3"/>
    </sheetView>
  </sheetViews>
  <sheetFormatPr baseColWidth="10" defaultRowHeight="15" x14ac:dyDescent="0.25"/>
  <cols>
    <col min="1" max="2" width="10.85546875" style="1"/>
    <col min="7" max="7" width="22.85546875" bestFit="1" customWidth="1"/>
    <col min="8" max="8" width="17.7109375" bestFit="1" customWidth="1"/>
    <col min="9" max="9" width="9.42578125" bestFit="1" customWidth="1"/>
    <col min="10" max="10" width="15.7109375" bestFit="1" customWidth="1"/>
    <col min="11" max="11" width="8" bestFit="1" customWidth="1"/>
    <col min="12" max="12" width="11.7109375" bestFit="1" customWidth="1"/>
    <col min="13" max="13" width="12.140625" bestFit="1" customWidth="1"/>
    <col min="14" max="14" width="6.140625" bestFit="1" customWidth="1"/>
    <col min="15" max="15" width="15.7109375" bestFit="1" customWidth="1"/>
    <col min="16" max="16" width="8" bestFit="1" customWidth="1"/>
    <col min="17" max="17" width="11.7109375" bestFit="1" customWidth="1"/>
    <col min="18" max="18" width="12.140625" bestFit="1" customWidth="1"/>
  </cols>
  <sheetData>
    <row r="1" spans="1:14" x14ac:dyDescent="0.25">
      <c r="B1" s="88" t="s">
        <v>102</v>
      </c>
      <c r="G1" t="s">
        <v>178</v>
      </c>
      <c r="H1" t="s">
        <v>182</v>
      </c>
      <c r="I1" t="s">
        <v>1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</row>
    <row r="2" spans="1:14" x14ac:dyDescent="0.25">
      <c r="A2" s="30"/>
      <c r="B2" s="1">
        <v>1</v>
      </c>
      <c r="G2" t="s">
        <v>179</v>
      </c>
      <c r="H2" t="s">
        <v>188</v>
      </c>
      <c r="I2" t="s">
        <v>1</v>
      </c>
      <c r="J2" t="s">
        <v>183</v>
      </c>
      <c r="K2" t="s">
        <v>189</v>
      </c>
      <c r="L2" t="s">
        <v>190</v>
      </c>
      <c r="M2" t="s">
        <v>186</v>
      </c>
    </row>
    <row r="3" spans="1:14" x14ac:dyDescent="0.25">
      <c r="A3" s="44"/>
      <c r="B3" s="1">
        <v>2</v>
      </c>
      <c r="G3" t="s">
        <v>110</v>
      </c>
      <c r="H3" t="s">
        <v>105</v>
      </c>
      <c r="I3" t="s">
        <v>0</v>
      </c>
      <c r="J3" t="s">
        <v>106</v>
      </c>
      <c r="K3" t="s">
        <v>107</v>
      </c>
      <c r="L3" t="s">
        <v>108</v>
      </c>
    </row>
    <row r="4" spans="1:14" x14ac:dyDescent="0.25">
      <c r="A4" s="31"/>
      <c r="B4" s="1">
        <v>3</v>
      </c>
      <c r="G4" t="s">
        <v>76</v>
      </c>
      <c r="H4" t="s">
        <v>24</v>
      </c>
      <c r="I4" t="s">
        <v>25</v>
      </c>
      <c r="J4" t="s">
        <v>93</v>
      </c>
      <c r="K4" t="s">
        <v>27</v>
      </c>
      <c r="L4" t="s">
        <v>94</v>
      </c>
    </row>
    <row r="5" spans="1:14" x14ac:dyDescent="0.25">
      <c r="A5" s="45"/>
      <c r="B5" s="1">
        <v>4</v>
      </c>
      <c r="G5" t="s">
        <v>180</v>
      </c>
      <c r="H5" t="s">
        <v>183</v>
      </c>
      <c r="I5" t="s">
        <v>191</v>
      </c>
      <c r="J5" t="s">
        <v>192</v>
      </c>
      <c r="K5" t="s">
        <v>193</v>
      </c>
    </row>
    <row r="6" spans="1:14" x14ac:dyDescent="0.25">
      <c r="A6" s="32"/>
      <c r="B6" s="1">
        <v>5</v>
      </c>
      <c r="G6" t="s">
        <v>181</v>
      </c>
      <c r="H6" t="s">
        <v>184</v>
      </c>
      <c r="I6" t="s">
        <v>194</v>
      </c>
      <c r="J6" t="s">
        <v>24</v>
      </c>
    </row>
    <row r="7" spans="1:14" x14ac:dyDescent="0.25">
      <c r="A7" s="46"/>
      <c r="B7" s="1">
        <v>6</v>
      </c>
      <c r="G7" t="s">
        <v>95</v>
      </c>
      <c r="H7" t="s">
        <v>1</v>
      </c>
      <c r="I7" t="s">
        <v>2</v>
      </c>
      <c r="J7" t="s">
        <v>0</v>
      </c>
      <c r="K7" t="s">
        <v>3</v>
      </c>
      <c r="L7" t="s">
        <v>4</v>
      </c>
    </row>
    <row r="8" spans="1:14" x14ac:dyDescent="0.25">
      <c r="A8" s="33"/>
      <c r="B8" s="1">
        <v>7</v>
      </c>
      <c r="G8" t="s">
        <v>165</v>
      </c>
      <c r="H8" t="s">
        <v>166</v>
      </c>
      <c r="I8" t="s">
        <v>167</v>
      </c>
      <c r="J8" t="s">
        <v>168</v>
      </c>
      <c r="K8" t="s">
        <v>24</v>
      </c>
    </row>
    <row r="9" spans="1:14" x14ac:dyDescent="0.25">
      <c r="A9" s="47"/>
      <c r="B9" s="1">
        <v>8</v>
      </c>
    </row>
    <row r="10" spans="1:14" x14ac:dyDescent="0.25">
      <c r="A10" s="34"/>
      <c r="B10" s="1">
        <v>9</v>
      </c>
    </row>
    <row r="11" spans="1:14" x14ac:dyDescent="0.25">
      <c r="A11" s="48"/>
      <c r="B11" s="1">
        <v>10</v>
      </c>
    </row>
    <row r="12" spans="1:14" x14ac:dyDescent="0.25">
      <c r="A12" s="35"/>
      <c r="B12" s="1">
        <v>11</v>
      </c>
    </row>
    <row r="13" spans="1:14" x14ac:dyDescent="0.25">
      <c r="A13" s="53"/>
      <c r="B13" s="86">
        <v>12</v>
      </c>
    </row>
    <row r="14" spans="1:14" x14ac:dyDescent="0.25">
      <c r="A14" s="36"/>
      <c r="B14" s="1">
        <v>13</v>
      </c>
    </row>
    <row r="15" spans="1:14" x14ac:dyDescent="0.25">
      <c r="A15" s="49"/>
      <c r="B15" s="1">
        <v>14</v>
      </c>
    </row>
    <row r="16" spans="1:14" x14ac:dyDescent="0.25">
      <c r="A16" s="37"/>
      <c r="B16" s="1">
        <v>15</v>
      </c>
    </row>
    <row r="17" spans="1:2" x14ac:dyDescent="0.25">
      <c r="A17" s="50"/>
      <c r="B17" s="1">
        <v>16</v>
      </c>
    </row>
    <row r="18" spans="1:2" x14ac:dyDescent="0.25">
      <c r="A18" s="38"/>
      <c r="B18" s="1">
        <v>17</v>
      </c>
    </row>
    <row r="19" spans="1:2" x14ac:dyDescent="0.25">
      <c r="A19" s="51"/>
      <c r="B19" s="1">
        <v>18</v>
      </c>
    </row>
    <row r="20" spans="1:2" x14ac:dyDescent="0.25">
      <c r="A20" s="39"/>
      <c r="B20" s="1">
        <v>19</v>
      </c>
    </row>
    <row r="21" spans="1:2" x14ac:dyDescent="0.25">
      <c r="A21" s="28"/>
      <c r="B21" s="1">
        <v>20</v>
      </c>
    </row>
    <row r="22" spans="1:2" x14ac:dyDescent="0.25">
      <c r="A22" s="29"/>
      <c r="B22" s="1">
        <v>21</v>
      </c>
    </row>
    <row r="23" spans="1:2" x14ac:dyDescent="0.25">
      <c r="A23" s="52"/>
      <c r="B23" s="1">
        <v>22</v>
      </c>
    </row>
    <row r="24" spans="1:2" x14ac:dyDescent="0.25">
      <c r="A24" s="40"/>
      <c r="B24" s="1">
        <v>23</v>
      </c>
    </row>
    <row r="25" spans="1:2" x14ac:dyDescent="0.25">
      <c r="A25" s="53"/>
      <c r="B25" s="1">
        <v>24</v>
      </c>
    </row>
    <row r="26" spans="1:2" x14ac:dyDescent="0.25">
      <c r="A26" s="41"/>
      <c r="B26" s="1">
        <v>25</v>
      </c>
    </row>
    <row r="27" spans="1:2" x14ac:dyDescent="0.25">
      <c r="A27" s="54"/>
      <c r="B27" s="1">
        <v>26</v>
      </c>
    </row>
    <row r="28" spans="1:2" x14ac:dyDescent="0.25">
      <c r="A28" s="42"/>
      <c r="B28" s="1">
        <v>27</v>
      </c>
    </row>
    <row r="29" spans="1:2" x14ac:dyDescent="0.25">
      <c r="A29" s="55"/>
      <c r="B29" s="1">
        <v>28</v>
      </c>
    </row>
    <row r="30" spans="1:2" x14ac:dyDescent="0.25">
      <c r="A30" s="43"/>
      <c r="B30" s="1">
        <v>29</v>
      </c>
    </row>
    <row r="31" spans="1:2" x14ac:dyDescent="0.25">
      <c r="A31" s="56"/>
      <c r="B31" s="1">
        <v>30</v>
      </c>
    </row>
    <row r="32" spans="1:2" x14ac:dyDescent="0.25">
      <c r="A32" s="57"/>
      <c r="B32" s="1">
        <v>31</v>
      </c>
    </row>
    <row r="33" spans="1:2" x14ac:dyDescent="0.25">
      <c r="A33" s="58"/>
      <c r="B33" s="1">
        <v>32</v>
      </c>
    </row>
    <row r="34" spans="1:2" x14ac:dyDescent="0.25">
      <c r="A34" s="59"/>
      <c r="B34" s="1">
        <v>33</v>
      </c>
    </row>
    <row r="35" spans="1:2" x14ac:dyDescent="0.25">
      <c r="A35" s="60"/>
      <c r="B35" s="1">
        <v>34</v>
      </c>
    </row>
    <row r="36" spans="1:2" x14ac:dyDescent="0.25">
      <c r="A36" s="61"/>
      <c r="B36" s="1">
        <v>35</v>
      </c>
    </row>
    <row r="37" spans="1:2" x14ac:dyDescent="0.25">
      <c r="A37" s="62"/>
      <c r="B37" s="1">
        <v>36</v>
      </c>
    </row>
    <row r="38" spans="1:2" x14ac:dyDescent="0.25">
      <c r="A38" s="63"/>
      <c r="B38" s="1">
        <v>37</v>
      </c>
    </row>
    <row r="39" spans="1:2" x14ac:dyDescent="0.25">
      <c r="A39" s="64"/>
      <c r="B39" s="1">
        <v>38</v>
      </c>
    </row>
    <row r="40" spans="1:2" x14ac:dyDescent="0.25">
      <c r="A40" s="65"/>
      <c r="B40" s="1">
        <v>39</v>
      </c>
    </row>
    <row r="41" spans="1:2" x14ac:dyDescent="0.25">
      <c r="A41" s="66"/>
      <c r="B41" s="1">
        <v>40</v>
      </c>
    </row>
    <row r="42" spans="1:2" x14ac:dyDescent="0.25">
      <c r="A42" s="67"/>
      <c r="B42" s="1">
        <v>41</v>
      </c>
    </row>
    <row r="43" spans="1:2" x14ac:dyDescent="0.25">
      <c r="A43" s="68"/>
      <c r="B43" s="1">
        <v>42</v>
      </c>
    </row>
    <row r="44" spans="1:2" x14ac:dyDescent="0.25">
      <c r="A44" s="69"/>
      <c r="B44" s="1">
        <v>43</v>
      </c>
    </row>
    <row r="45" spans="1:2" x14ac:dyDescent="0.25">
      <c r="A45" s="70"/>
      <c r="B45" s="1">
        <v>44</v>
      </c>
    </row>
    <row r="46" spans="1:2" x14ac:dyDescent="0.25">
      <c r="A46" s="71"/>
      <c r="B46" s="1">
        <v>45</v>
      </c>
    </row>
    <row r="47" spans="1:2" x14ac:dyDescent="0.25">
      <c r="A47" s="72"/>
      <c r="B47" s="1">
        <v>46</v>
      </c>
    </row>
    <row r="48" spans="1:2" x14ac:dyDescent="0.25">
      <c r="A48" s="73"/>
      <c r="B48" s="1">
        <v>47</v>
      </c>
    </row>
    <row r="49" spans="1:2" x14ac:dyDescent="0.25">
      <c r="A49" s="74"/>
      <c r="B49" s="1">
        <v>48</v>
      </c>
    </row>
    <row r="50" spans="1:2" x14ac:dyDescent="0.25">
      <c r="A50" s="75"/>
      <c r="B50" s="1">
        <v>49</v>
      </c>
    </row>
    <row r="51" spans="1:2" x14ac:dyDescent="0.25">
      <c r="A51" s="76"/>
      <c r="B51" s="1">
        <v>50</v>
      </c>
    </row>
    <row r="52" spans="1:2" x14ac:dyDescent="0.25">
      <c r="A52" s="77"/>
      <c r="B52" s="1">
        <v>51</v>
      </c>
    </row>
    <row r="53" spans="1:2" x14ac:dyDescent="0.25">
      <c r="A53" s="78"/>
      <c r="B53" s="1">
        <v>52</v>
      </c>
    </row>
    <row r="54" spans="1:2" x14ac:dyDescent="0.25">
      <c r="A54" s="79"/>
      <c r="B54" s="1">
        <v>53</v>
      </c>
    </row>
    <row r="55" spans="1:2" x14ac:dyDescent="0.25">
      <c r="A55" s="80"/>
      <c r="B55" s="1">
        <v>54</v>
      </c>
    </row>
    <row r="56" spans="1:2" x14ac:dyDescent="0.25">
      <c r="A56" s="81"/>
      <c r="B56" s="1">
        <v>55</v>
      </c>
    </row>
    <row r="57" spans="1:2" x14ac:dyDescent="0.25">
      <c r="A57" s="82"/>
      <c r="B57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51BD-10C4-4072-BF28-51920B5E0D1A}">
  <sheetPr codeName="Feuil1"/>
  <dimension ref="A1:Y50"/>
  <sheetViews>
    <sheetView topLeftCell="I3" zoomScale="115" zoomScaleNormal="115" workbookViewId="0">
      <pane ySplit="9" topLeftCell="A12" activePane="bottomLeft" state="frozen"/>
      <selection activeCell="A3" sqref="A3"/>
      <selection pane="bottomLeft" activeCell="V17" sqref="V17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3"/>
      <c r="C2" s="3"/>
      <c r="D2" s="3"/>
      <c r="E2" s="3"/>
      <c r="F2" s="3"/>
      <c r="G2" s="3"/>
      <c r="H2" s="85"/>
      <c r="I2" s="85"/>
      <c r="J2" s="85"/>
    </row>
    <row r="3" spans="1:25" x14ac:dyDescent="0.25">
      <c r="A3" s="1" t="s">
        <v>227</v>
      </c>
      <c r="B3" s="3" t="str" cm="1">
        <f t="array" ref="B3:I3">TRANSPOSE(_xlfn.UNIQUE(A12:A50))</f>
        <v>DistributionsArtistiques</v>
      </c>
      <c r="C3" s="3" t="str">
        <v>DistributionsTechniques</v>
      </c>
      <c r="D3" s="3" t="str">
        <v>Lieux</v>
      </c>
      <c r="E3" s="3" t="str">
        <v>Pieces</v>
      </c>
      <c r="F3" s="3" t="str">
        <v>Professions</v>
      </c>
      <c r="G3" s="3" t="str">
        <v>Roles</v>
      </c>
      <c r="H3" s="3" t="str">
        <v>Salaries</v>
      </c>
      <c r="I3" s="3" t="str">
        <v>Spectacles</v>
      </c>
      <c r="J3" s="3" t="s">
        <v>226</v>
      </c>
    </row>
    <row r="4" spans="1:25" x14ac:dyDescent="0.25">
      <c r="A4" s="1" t="s">
        <v>225</v>
      </c>
      <c r="B4" s="3">
        <f t="shared" ref="B4:I4" si="0">_xlfn.XMATCH(B3,$A$1:$A$401,0)</f>
        <v>12</v>
      </c>
      <c r="C4" s="3">
        <f t="shared" si="0"/>
        <v>19</v>
      </c>
      <c r="D4" s="3">
        <f t="shared" si="0"/>
        <v>25</v>
      </c>
      <c r="E4" s="3">
        <f t="shared" si="0"/>
        <v>30</v>
      </c>
      <c r="F4" s="3">
        <f t="shared" si="0"/>
        <v>35</v>
      </c>
      <c r="G4" s="3">
        <f t="shared" si="0"/>
        <v>39</v>
      </c>
      <c r="H4" s="3">
        <f t="shared" si="0"/>
        <v>42</v>
      </c>
      <c r="I4" s="3">
        <f t="shared" si="0"/>
        <v>47</v>
      </c>
      <c r="J4" s="3" cm="1">
        <f t="array" ref="J4">MAX((B:B&lt;&gt;"")*(ROW(B:B)))+1</f>
        <v>51</v>
      </c>
    </row>
    <row r="5" spans="1:25" x14ac:dyDescent="0.25">
      <c r="A5" s="1" t="s">
        <v>226</v>
      </c>
      <c r="B5" s="3">
        <f>C4-1</f>
        <v>18</v>
      </c>
      <c r="C5" s="3">
        <f t="shared" ref="C5:I5" si="1">D4-1</f>
        <v>24</v>
      </c>
      <c r="D5" s="3">
        <f t="shared" si="1"/>
        <v>29</v>
      </c>
      <c r="E5" s="3">
        <f t="shared" si="1"/>
        <v>34</v>
      </c>
      <c r="F5" s="3">
        <f t="shared" si="1"/>
        <v>38</v>
      </c>
      <c r="G5" s="3">
        <f t="shared" si="1"/>
        <v>41</v>
      </c>
      <c r="H5" s="3">
        <f t="shared" si="1"/>
        <v>46</v>
      </c>
      <c r="I5" s="3">
        <f t="shared" si="1"/>
        <v>50</v>
      </c>
      <c r="J5" s="3"/>
      <c r="N5" s="10"/>
      <c r="P5" s="10"/>
      <c r="Q5" s="10"/>
    </row>
    <row r="6" spans="1:25" x14ac:dyDescent="0.25">
      <c r="A6" s="1" t="s">
        <v>228</v>
      </c>
      <c r="B6" s="94" t="s">
        <v>232</v>
      </c>
      <c r="C6" s="94" t="s">
        <v>233</v>
      </c>
      <c r="D6" s="94" t="s">
        <v>234</v>
      </c>
      <c r="E6" s="94" t="s">
        <v>237</v>
      </c>
      <c r="F6" s="94" t="s">
        <v>180</v>
      </c>
      <c r="G6" s="94" t="s">
        <v>235</v>
      </c>
      <c r="H6" s="94" t="s">
        <v>236</v>
      </c>
      <c r="I6" s="94" t="s">
        <v>165</v>
      </c>
      <c r="J6" s="94"/>
      <c r="N6" s="10"/>
      <c r="P6" s="10"/>
      <c r="Q6" s="10"/>
    </row>
    <row r="7" spans="1:25" x14ac:dyDescent="0.25">
      <c r="A7" s="1" t="s">
        <v>229</v>
      </c>
      <c r="B7" s="94">
        <v>1</v>
      </c>
      <c r="C7" s="94">
        <v>2</v>
      </c>
      <c r="D7" s="94">
        <v>3</v>
      </c>
      <c r="E7" s="94">
        <v>4</v>
      </c>
      <c r="F7" s="94">
        <v>5</v>
      </c>
      <c r="G7" s="94">
        <v>6</v>
      </c>
      <c r="H7" s="94">
        <v>7</v>
      </c>
      <c r="I7" s="94">
        <v>8</v>
      </c>
      <c r="J7" s="94"/>
      <c r="N7" s="10"/>
      <c r="P7" s="10"/>
      <c r="Q7" s="10"/>
    </row>
    <row r="8" spans="1:25" hidden="1" x14ac:dyDescent="0.25">
      <c r="N8" s="10"/>
      <c r="P8" s="10"/>
      <c r="Q8" s="10"/>
    </row>
    <row r="9" spans="1:25" hidden="1" x14ac:dyDescent="0.25">
      <c r="N9" s="10"/>
      <c r="P9" s="10"/>
      <c r="Q9" s="10"/>
    </row>
    <row r="10" spans="1:25" hidden="1" x14ac:dyDescent="0.25">
      <c r="N10" s="10"/>
      <c r="P10" s="10"/>
      <c r="Q10" s="10"/>
    </row>
    <row r="11" spans="1:25" x14ac:dyDescent="0.25">
      <c r="A11" s="4" t="s">
        <v>208</v>
      </c>
      <c r="B11" s="4" t="s">
        <v>213</v>
      </c>
      <c r="C11" s="4" t="s">
        <v>216</v>
      </c>
      <c r="D11" s="4" t="s">
        <v>210</v>
      </c>
      <c r="E11" s="4" t="s">
        <v>214</v>
      </c>
      <c r="F11" s="4" t="s">
        <v>215</v>
      </c>
      <c r="G11" s="4" t="s">
        <v>209</v>
      </c>
      <c r="H11" s="4" t="s">
        <v>249</v>
      </c>
      <c r="I11" s="4" t="s">
        <v>230</v>
      </c>
      <c r="J11" s="4" t="s">
        <v>231</v>
      </c>
      <c r="K11" s="4" t="s">
        <v>238</v>
      </c>
      <c r="N11" s="10"/>
      <c r="P11" s="10"/>
      <c r="Q11" s="10"/>
    </row>
    <row r="12" spans="1:25" x14ac:dyDescent="0.25">
      <c r="A12" s="93" t="s">
        <v>178</v>
      </c>
      <c r="B12" s="93" t="s">
        <v>182</v>
      </c>
      <c r="C12" s="93"/>
      <c r="D12" s="93"/>
      <c r="E12" s="93"/>
      <c r="F12" s="93"/>
      <c r="G12" s="93" t="s">
        <v>218</v>
      </c>
      <c r="H12" s="93" t="str">
        <f>A12</f>
        <v>DistributionsArtistiques</v>
      </c>
      <c r="I12" s="93" t="str">
        <f>HLOOKUP(H12,$B$3:$Z$6,4,FALSE)</f>
        <v>Distribution artistique</v>
      </c>
      <c r="J12" s="1">
        <f>HLOOKUP(H12,$B$3:$Z$7,5,FALSE)</f>
        <v>1</v>
      </c>
      <c r="K12" s="1" t="s">
        <v>239</v>
      </c>
      <c r="N12" s="10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93" t="s">
        <v>178</v>
      </c>
      <c r="B13" s="93" t="s">
        <v>1</v>
      </c>
      <c r="C13" s="93" t="s">
        <v>1</v>
      </c>
      <c r="D13" s="93" t="s">
        <v>1</v>
      </c>
      <c r="E13" s="93" t="s">
        <v>1</v>
      </c>
      <c r="F13" s="93" t="s">
        <v>95</v>
      </c>
      <c r="G13" s="93" t="s">
        <v>202</v>
      </c>
      <c r="H13" s="93" t="str">
        <f t="shared" ref="H13:H50" si="2">A13</f>
        <v>DistributionsArtistiques</v>
      </c>
      <c r="I13" s="93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239</v>
      </c>
      <c r="P13" s="10"/>
      <c r="Q13" s="10"/>
    </row>
    <row r="14" spans="1:25" x14ac:dyDescent="0.25">
      <c r="A14" s="93" t="s">
        <v>178</v>
      </c>
      <c r="B14" s="93" t="s">
        <v>183</v>
      </c>
      <c r="C14" s="93" t="s">
        <v>183</v>
      </c>
      <c r="D14" s="93"/>
      <c r="E14" s="93" t="s">
        <v>183</v>
      </c>
      <c r="F14" s="93" t="s">
        <v>180</v>
      </c>
      <c r="G14" s="93" t="s">
        <v>195</v>
      </c>
      <c r="H14" s="93" t="str">
        <f t="shared" si="2"/>
        <v>DistributionsArtistiques</v>
      </c>
      <c r="I14" s="93" t="str">
        <f t="shared" si="3"/>
        <v>Distribution artistique</v>
      </c>
      <c r="J14" s="1">
        <f t="shared" si="4"/>
        <v>1</v>
      </c>
      <c r="K14" s="1" t="s">
        <v>239</v>
      </c>
      <c r="P14" s="10"/>
      <c r="Q14" s="10"/>
    </row>
    <row r="15" spans="1:25" x14ac:dyDescent="0.25">
      <c r="A15" s="93" t="s">
        <v>178</v>
      </c>
      <c r="B15" s="93" t="s">
        <v>184</v>
      </c>
      <c r="C15" s="93" t="s">
        <v>184</v>
      </c>
      <c r="D15" s="93"/>
      <c r="E15" s="93" t="s">
        <v>184</v>
      </c>
      <c r="F15" s="93" t="s">
        <v>181</v>
      </c>
      <c r="G15" s="93" t="s">
        <v>196</v>
      </c>
      <c r="H15" s="93" t="str">
        <f t="shared" si="2"/>
        <v>DistributionsArtistiques</v>
      </c>
      <c r="I15" s="93" t="str">
        <f t="shared" si="3"/>
        <v>Distribution artistique</v>
      </c>
      <c r="J15" s="1">
        <f t="shared" si="4"/>
        <v>1</v>
      </c>
      <c r="K15" s="1" t="s">
        <v>239</v>
      </c>
      <c r="P15" s="10"/>
      <c r="Q15" s="10"/>
    </row>
    <row r="16" spans="1:25" x14ac:dyDescent="0.25">
      <c r="A16" s="93" t="s">
        <v>178</v>
      </c>
      <c r="B16" s="93" t="s">
        <v>185</v>
      </c>
      <c r="C16" s="93" t="s">
        <v>185</v>
      </c>
      <c r="D16" s="93"/>
      <c r="E16" s="93"/>
      <c r="F16" s="93"/>
      <c r="G16" s="93" t="s">
        <v>197</v>
      </c>
      <c r="H16" s="93" t="str">
        <f t="shared" si="2"/>
        <v>DistributionsArtistiques</v>
      </c>
      <c r="I16" s="93" t="str">
        <f t="shared" si="3"/>
        <v>Distribution artistique</v>
      </c>
      <c r="J16" s="1">
        <f t="shared" si="4"/>
        <v>1</v>
      </c>
      <c r="K16" s="1" t="s">
        <v>240</v>
      </c>
      <c r="P16" s="10"/>
      <c r="Q16" s="10"/>
      <c r="U16" s="4"/>
      <c r="V16" s="95" t="s">
        <v>268</v>
      </c>
      <c r="W16" s="95" t="s">
        <v>269</v>
      </c>
    </row>
    <row r="17" spans="1:24" x14ac:dyDescent="0.25">
      <c r="A17" s="93" t="s">
        <v>178</v>
      </c>
      <c r="B17" s="93" t="s">
        <v>186</v>
      </c>
      <c r="C17" s="93" t="s">
        <v>186</v>
      </c>
      <c r="D17" s="93" t="s">
        <v>186</v>
      </c>
      <c r="E17" s="93" t="s">
        <v>186</v>
      </c>
      <c r="F17" s="93" t="s">
        <v>165</v>
      </c>
      <c r="G17" s="93" t="s">
        <v>203</v>
      </c>
      <c r="H17" s="93" t="str">
        <f t="shared" si="2"/>
        <v>DistributionsArtistiques</v>
      </c>
      <c r="I17" s="93" t="str">
        <f t="shared" si="3"/>
        <v>Distribution artistique</v>
      </c>
      <c r="J17" s="1">
        <f t="shared" si="4"/>
        <v>1</v>
      </c>
      <c r="K17" s="1" t="s">
        <v>239</v>
      </c>
      <c r="P17" s="10"/>
      <c r="Q17" s="10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4" t="str" cm="1">
        <f t="array" ref="U17:U26">TRANSPOSE(_xlfn.UNIQUE(B11:K11))</f>
        <v>champs</v>
      </c>
      <c r="V17" t="s">
        <v>259</v>
      </c>
      <c r="W17" t="s">
        <v>259</v>
      </c>
      <c r="X17" t="str" cm="1">
        <f t="array" ref="X17:X24">_xlfn.UNIQUE(I12:I50)</f>
        <v>Distribution artistique</v>
      </c>
    </row>
    <row r="18" spans="1:24" x14ac:dyDescent="0.25">
      <c r="A18" s="93" t="s">
        <v>178</v>
      </c>
      <c r="B18" s="93" t="s">
        <v>187</v>
      </c>
      <c r="C18" s="93" t="s">
        <v>187</v>
      </c>
      <c r="D18" s="93"/>
      <c r="E18" s="93"/>
      <c r="F18" s="93"/>
      <c r="G18" s="93" t="s">
        <v>198</v>
      </c>
      <c r="H18" s="93" t="str">
        <f t="shared" si="2"/>
        <v>DistributionsArtistiques</v>
      </c>
      <c r="I18" s="93" t="str">
        <f t="shared" si="3"/>
        <v>Distribution artistique</v>
      </c>
      <c r="J18" s="1">
        <f t="shared" si="4"/>
        <v>1</v>
      </c>
      <c r="K18" s="1" t="s">
        <v>240</v>
      </c>
      <c r="P18" s="10"/>
      <c r="Q18" s="10"/>
      <c r="R18" s="1">
        <v>2</v>
      </c>
      <c r="S18" t="str">
        <v>DistributionsTechniques</v>
      </c>
      <c r="U18" s="4" t="str">
        <v>visibles</v>
      </c>
      <c r="V18" t="s">
        <v>260</v>
      </c>
      <c r="W18" t="s">
        <v>260</v>
      </c>
      <c r="X18" t="str">
        <v>Distribution technique</v>
      </c>
    </row>
    <row r="19" spans="1:24" x14ac:dyDescent="0.25">
      <c r="A19" s="93" t="s">
        <v>179</v>
      </c>
      <c r="B19" s="93" t="s">
        <v>188</v>
      </c>
      <c r="C19" s="93"/>
      <c r="D19" s="93"/>
      <c r="E19" s="93"/>
      <c r="F19" s="93"/>
      <c r="G19" s="93" t="s">
        <v>219</v>
      </c>
      <c r="H19" s="93" t="str">
        <f t="shared" si="2"/>
        <v>DistributionsTechniques</v>
      </c>
      <c r="I19" s="93" t="str">
        <f t="shared" si="3"/>
        <v>Distribution technique</v>
      </c>
      <c r="J19" s="1">
        <f t="shared" si="4"/>
        <v>2</v>
      </c>
      <c r="K19" s="1" t="s">
        <v>239</v>
      </c>
      <c r="P19" s="10"/>
      <c r="Q19" s="10"/>
      <c r="R19" s="1">
        <v>3</v>
      </c>
      <c r="S19" t="str">
        <v>Lieux</v>
      </c>
      <c r="U19" s="4" t="str">
        <v>recherche</v>
      </c>
      <c r="V19" t="s">
        <v>261</v>
      </c>
      <c r="W19" t="s">
        <v>261</v>
      </c>
      <c r="X19" t="str">
        <v>Lieux de représentation</v>
      </c>
    </row>
    <row r="20" spans="1:24" x14ac:dyDescent="0.25">
      <c r="A20" s="93" t="s">
        <v>179</v>
      </c>
      <c r="B20" s="93" t="s">
        <v>1</v>
      </c>
      <c r="C20" s="93" t="s">
        <v>1</v>
      </c>
      <c r="D20" s="93" t="s">
        <v>1</v>
      </c>
      <c r="E20" s="93" t="s">
        <v>1</v>
      </c>
      <c r="F20" s="93" t="s">
        <v>95</v>
      </c>
      <c r="G20" s="93" t="s">
        <v>202</v>
      </c>
      <c r="H20" s="93" t="str">
        <f t="shared" si="2"/>
        <v>DistributionsTechniques</v>
      </c>
      <c r="I20" s="93" t="str">
        <f t="shared" si="3"/>
        <v>Distribution technique</v>
      </c>
      <c r="J20" s="1">
        <f t="shared" si="4"/>
        <v>2</v>
      </c>
      <c r="K20" s="1" t="s">
        <v>239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4" t="str">
        <v>liaisonID</v>
      </c>
      <c r="V20" t="s">
        <v>262</v>
      </c>
      <c r="W20" t="s">
        <v>264</v>
      </c>
      <c r="X20" t="str">
        <v>Pièces</v>
      </c>
    </row>
    <row r="21" spans="1:24" x14ac:dyDescent="0.25">
      <c r="A21" s="93" t="s">
        <v>179</v>
      </c>
      <c r="B21" s="93" t="s">
        <v>183</v>
      </c>
      <c r="C21" s="93" t="s">
        <v>183</v>
      </c>
      <c r="D21" s="93"/>
      <c r="E21" s="93" t="s">
        <v>183</v>
      </c>
      <c r="F21" s="93" t="s">
        <v>180</v>
      </c>
      <c r="G21" s="93" t="s">
        <v>195</v>
      </c>
      <c r="H21" s="93" t="str">
        <f t="shared" si="2"/>
        <v>DistributionsTechniques</v>
      </c>
      <c r="I21" s="93" t="str">
        <f t="shared" si="3"/>
        <v>Distribution technique</v>
      </c>
      <c r="J21" s="1">
        <f t="shared" si="4"/>
        <v>2</v>
      </c>
      <c r="K21" s="1" t="s">
        <v>239</v>
      </c>
      <c r="P21" s="10"/>
      <c r="Q21" s="10"/>
      <c r="R21" s="1">
        <v>5</v>
      </c>
      <c r="S21" t="str">
        <v>Professions</v>
      </c>
      <c r="U21" s="4" t="str">
        <v>tableID</v>
      </c>
      <c r="V21" t="s">
        <v>263</v>
      </c>
      <c r="W21" t="s">
        <v>273</v>
      </c>
      <c r="X21" t="str">
        <v>Professions</v>
      </c>
    </row>
    <row r="22" spans="1:24" x14ac:dyDescent="0.25">
      <c r="A22" s="93" t="s">
        <v>179</v>
      </c>
      <c r="B22" s="93" t="s">
        <v>189</v>
      </c>
      <c r="C22" s="93" t="s">
        <v>189</v>
      </c>
      <c r="D22" s="93"/>
      <c r="E22" s="93"/>
      <c r="F22" s="93"/>
      <c r="G22" s="93" t="s">
        <v>199</v>
      </c>
      <c r="H22" s="93" t="str">
        <f t="shared" si="2"/>
        <v>DistributionsTechniques</v>
      </c>
      <c r="I22" s="93" t="str">
        <f t="shared" si="3"/>
        <v>Distribution technique</v>
      </c>
      <c r="J22" s="1">
        <f t="shared" si="4"/>
        <v>2</v>
      </c>
      <c r="K22" s="1" t="s">
        <v>241</v>
      </c>
      <c r="P22" s="10"/>
      <c r="Q22" s="10"/>
      <c r="R22" s="1">
        <v>6</v>
      </c>
      <c r="S22" t="str">
        <v>Roles</v>
      </c>
      <c r="U22" s="4" t="str">
        <v>display</v>
      </c>
      <c r="V22" t="s">
        <v>264</v>
      </c>
      <c r="W22" t="s">
        <v>265</v>
      </c>
      <c r="X22" t="str">
        <v>Rôles</v>
      </c>
    </row>
    <row r="23" spans="1:24" x14ac:dyDescent="0.25">
      <c r="A23" s="93" t="s">
        <v>179</v>
      </c>
      <c r="B23" s="93" t="s">
        <v>190</v>
      </c>
      <c r="C23" s="93" t="s">
        <v>190</v>
      </c>
      <c r="D23" s="93"/>
      <c r="E23" s="93"/>
      <c r="F23" s="93"/>
      <c r="G23" s="93" t="s">
        <v>200</v>
      </c>
      <c r="H23" s="93" t="str">
        <f t="shared" si="2"/>
        <v>DistributionsTechniques</v>
      </c>
      <c r="I23" s="93" t="str">
        <f t="shared" si="3"/>
        <v>Distribution technique</v>
      </c>
      <c r="J23" s="1">
        <f t="shared" si="4"/>
        <v>2</v>
      </c>
      <c r="K23" s="1" t="s">
        <v>242</v>
      </c>
      <c r="P23" s="10"/>
      <c r="Q23" s="10"/>
      <c r="R23" s="1">
        <v>7</v>
      </c>
      <c r="S23" t="str">
        <v>Salaries</v>
      </c>
      <c r="U23" s="4" t="str">
        <v>tableBD</v>
      </c>
      <c r="V23" t="s">
        <v>265</v>
      </c>
      <c r="X23" t="str">
        <v>Salariés</v>
      </c>
    </row>
    <row r="24" spans="1:24" x14ac:dyDescent="0.25">
      <c r="A24" s="93" t="s">
        <v>179</v>
      </c>
      <c r="B24" s="93" t="s">
        <v>186</v>
      </c>
      <c r="C24" s="93" t="s">
        <v>186</v>
      </c>
      <c r="D24" s="93" t="s">
        <v>186</v>
      </c>
      <c r="E24" s="93" t="s">
        <v>186</v>
      </c>
      <c r="F24" s="93" t="s">
        <v>165</v>
      </c>
      <c r="G24" s="93" t="s">
        <v>203</v>
      </c>
      <c r="H24" s="93" t="str">
        <f t="shared" si="2"/>
        <v>DistributionsTechniques</v>
      </c>
      <c r="I24" s="93" t="str">
        <f t="shared" si="3"/>
        <v>Distribution technique</v>
      </c>
      <c r="J24" s="1">
        <f t="shared" si="4"/>
        <v>2</v>
      </c>
      <c r="K24" s="1" t="s">
        <v>239</v>
      </c>
      <c r="P24" s="10"/>
      <c r="Q24" s="10"/>
      <c r="R24" s="1">
        <v>8</v>
      </c>
      <c r="S24" t="str">
        <v>Spectacles</v>
      </c>
      <c r="U24" s="4" t="str">
        <v>tableDisplay</v>
      </c>
      <c r="V24" t="s">
        <v>266</v>
      </c>
      <c r="X24" t="str">
        <v>Spectacles</v>
      </c>
    </row>
    <row r="25" spans="1:24" x14ac:dyDescent="0.25">
      <c r="A25" s="93" t="s">
        <v>110</v>
      </c>
      <c r="B25" s="93" t="s">
        <v>105</v>
      </c>
      <c r="C25" s="93"/>
      <c r="D25" s="93"/>
      <c r="E25" s="93"/>
      <c r="F25" s="93"/>
      <c r="G25" s="93" t="s">
        <v>217</v>
      </c>
      <c r="H25" s="93" t="str">
        <f t="shared" si="2"/>
        <v>Lieux</v>
      </c>
      <c r="I25" s="93" t="str">
        <f t="shared" si="3"/>
        <v>Lieux de représentation</v>
      </c>
      <c r="J25" s="1">
        <f t="shared" si="4"/>
        <v>3</v>
      </c>
      <c r="K25" s="1" t="s">
        <v>239</v>
      </c>
      <c r="P25" s="10"/>
      <c r="Q25" s="10"/>
      <c r="U25" s="4" t="str">
        <v>feuille</v>
      </c>
      <c r="V25" t="s">
        <v>267</v>
      </c>
    </row>
    <row r="26" spans="1:24" x14ac:dyDescent="0.25">
      <c r="A26" s="93" t="s">
        <v>110</v>
      </c>
      <c r="B26" s="93" t="s">
        <v>0</v>
      </c>
      <c r="C26" s="93" t="s">
        <v>0</v>
      </c>
      <c r="D26" s="93" t="s">
        <v>0</v>
      </c>
      <c r="E26" s="93"/>
      <c r="F26" s="93"/>
      <c r="G26" s="93" t="s">
        <v>212</v>
      </c>
      <c r="H26" s="93" t="str">
        <f t="shared" si="2"/>
        <v>Lieux</v>
      </c>
      <c r="I26" s="93" t="str">
        <f t="shared" si="3"/>
        <v>Lieux de représentation</v>
      </c>
      <c r="J26" s="1">
        <f t="shared" si="4"/>
        <v>3</v>
      </c>
      <c r="K26" s="1" t="s">
        <v>243</v>
      </c>
      <c r="P26" s="10"/>
      <c r="Q26" s="10"/>
      <c r="U26" s="4" t="str">
        <v>regX</v>
      </c>
      <c r="V26" t="s">
        <v>273</v>
      </c>
    </row>
    <row r="27" spans="1:24" x14ac:dyDescent="0.25">
      <c r="A27" s="93" t="s">
        <v>110</v>
      </c>
      <c r="B27" s="93" t="s">
        <v>106</v>
      </c>
      <c r="C27" s="93" t="s">
        <v>106</v>
      </c>
      <c r="D27" s="93"/>
      <c r="E27" s="93"/>
      <c r="F27" s="93"/>
      <c r="G27" s="93" t="s">
        <v>106</v>
      </c>
      <c r="H27" s="93" t="str">
        <f t="shared" si="2"/>
        <v>Lieux</v>
      </c>
      <c r="I27" s="93" t="str">
        <f t="shared" si="3"/>
        <v>Lieux de représentation</v>
      </c>
      <c r="J27" s="1">
        <f t="shared" si="4"/>
        <v>3</v>
      </c>
      <c r="K27" s="1" t="s">
        <v>243</v>
      </c>
      <c r="P27" s="10"/>
      <c r="Q27" s="10"/>
    </row>
    <row r="28" spans="1:24" x14ac:dyDescent="0.25">
      <c r="A28" s="93" t="s">
        <v>110</v>
      </c>
      <c r="B28" s="93" t="s">
        <v>107</v>
      </c>
      <c r="C28" s="93" t="s">
        <v>107</v>
      </c>
      <c r="D28" s="93"/>
      <c r="E28" s="93"/>
      <c r="F28" s="93"/>
      <c r="G28" s="93" t="s">
        <v>107</v>
      </c>
      <c r="H28" s="93" t="str">
        <f t="shared" si="2"/>
        <v>Lieux</v>
      </c>
      <c r="I28" s="93" t="str">
        <f t="shared" si="3"/>
        <v>Lieux de représentation</v>
      </c>
      <c r="J28" s="1">
        <f t="shared" si="4"/>
        <v>3</v>
      </c>
      <c r="K28" s="1" t="s">
        <v>243</v>
      </c>
      <c r="P28" s="10"/>
      <c r="Q28" s="10"/>
    </row>
    <row r="29" spans="1:24" x14ac:dyDescent="0.25">
      <c r="A29" s="93" t="s">
        <v>110</v>
      </c>
      <c r="B29" s="93" t="s">
        <v>108</v>
      </c>
      <c r="C29" s="93" t="s">
        <v>108</v>
      </c>
      <c r="D29" s="93"/>
      <c r="E29" s="93"/>
      <c r="F29" s="93"/>
      <c r="G29" s="93" t="s">
        <v>108</v>
      </c>
      <c r="H29" s="93" t="str">
        <f t="shared" si="2"/>
        <v>Lieux</v>
      </c>
      <c r="I29" s="93" t="str">
        <f t="shared" si="3"/>
        <v>Lieux de représentation</v>
      </c>
      <c r="J29" s="1">
        <f t="shared" si="4"/>
        <v>3</v>
      </c>
      <c r="K29" s="1" t="s">
        <v>243</v>
      </c>
    </row>
    <row r="30" spans="1:24" x14ac:dyDescent="0.25">
      <c r="A30" s="93" t="s">
        <v>76</v>
      </c>
      <c r="B30" s="93" t="s">
        <v>24</v>
      </c>
      <c r="C30" s="93" t="s">
        <v>24</v>
      </c>
      <c r="D30" s="93"/>
      <c r="E30" s="93" t="s">
        <v>24</v>
      </c>
      <c r="F30" s="93" t="s">
        <v>76</v>
      </c>
      <c r="G30" s="93" t="s">
        <v>220</v>
      </c>
      <c r="H30" s="93" t="str">
        <f t="shared" si="2"/>
        <v>Pieces</v>
      </c>
      <c r="I30" s="93" t="str">
        <f t="shared" si="3"/>
        <v>Pièces</v>
      </c>
      <c r="J30" s="1">
        <f t="shared" si="4"/>
        <v>4</v>
      </c>
      <c r="K30" s="1" t="s">
        <v>239</v>
      </c>
    </row>
    <row r="31" spans="1:24" x14ac:dyDescent="0.25">
      <c r="A31" s="93" t="s">
        <v>76</v>
      </c>
      <c r="B31" s="93" t="s">
        <v>25</v>
      </c>
      <c r="C31" s="93" t="s">
        <v>25</v>
      </c>
      <c r="D31" s="93" t="s">
        <v>25</v>
      </c>
      <c r="E31" s="93"/>
      <c r="F31" s="93"/>
      <c r="G31" s="93" t="s">
        <v>77</v>
      </c>
      <c r="H31" s="93" t="str">
        <f t="shared" si="2"/>
        <v>Pieces</v>
      </c>
      <c r="I31" s="93" t="str">
        <f t="shared" si="3"/>
        <v>Pièces</v>
      </c>
      <c r="J31" s="1">
        <f t="shared" si="4"/>
        <v>4</v>
      </c>
      <c r="K31" s="1" t="s">
        <v>243</v>
      </c>
    </row>
    <row r="32" spans="1:24" x14ac:dyDescent="0.25">
      <c r="A32" s="93" t="s">
        <v>76</v>
      </c>
      <c r="B32" s="93" t="s">
        <v>93</v>
      </c>
      <c r="C32" s="93" t="s">
        <v>93</v>
      </c>
      <c r="D32" s="93"/>
      <c r="E32" s="93"/>
      <c r="F32" s="93"/>
      <c r="G32" s="93" t="s">
        <v>206</v>
      </c>
      <c r="H32" s="93" t="str">
        <f t="shared" si="2"/>
        <v>Pieces</v>
      </c>
      <c r="I32" s="93" t="str">
        <f t="shared" si="3"/>
        <v>Pièces</v>
      </c>
      <c r="J32" s="1">
        <f t="shared" si="4"/>
        <v>4</v>
      </c>
      <c r="K32" s="1" t="s">
        <v>243</v>
      </c>
    </row>
    <row r="33" spans="1:11" x14ac:dyDescent="0.25">
      <c r="A33" s="93" t="s">
        <v>76</v>
      </c>
      <c r="B33" s="93" t="s">
        <v>27</v>
      </c>
      <c r="C33" s="93" t="s">
        <v>27</v>
      </c>
      <c r="D33" s="93" t="s">
        <v>27</v>
      </c>
      <c r="E33" s="93"/>
      <c r="F33" s="93"/>
      <c r="G33" s="93" t="s">
        <v>27</v>
      </c>
      <c r="H33" s="93" t="str">
        <f t="shared" si="2"/>
        <v>Pieces</v>
      </c>
      <c r="I33" s="93" t="str">
        <f t="shared" si="3"/>
        <v>Pièces</v>
      </c>
      <c r="J33" s="1">
        <f t="shared" si="4"/>
        <v>4</v>
      </c>
      <c r="K33" s="1" t="s">
        <v>243</v>
      </c>
    </row>
    <row r="34" spans="1:11" x14ac:dyDescent="0.25">
      <c r="A34" s="93" t="s">
        <v>76</v>
      </c>
      <c r="B34" s="93" t="s">
        <v>94</v>
      </c>
      <c r="C34" s="93" t="s">
        <v>94</v>
      </c>
      <c r="D34" s="93"/>
      <c r="E34" s="93"/>
      <c r="F34" s="93"/>
      <c r="G34" s="93" t="s">
        <v>94</v>
      </c>
      <c r="H34" s="93" t="str">
        <f t="shared" si="2"/>
        <v>Pieces</v>
      </c>
      <c r="I34" s="93" t="str">
        <f t="shared" si="3"/>
        <v>Pièces</v>
      </c>
      <c r="J34" s="1">
        <f t="shared" si="4"/>
        <v>4</v>
      </c>
      <c r="K34" s="1" t="s">
        <v>243</v>
      </c>
    </row>
    <row r="35" spans="1:11" x14ac:dyDescent="0.25">
      <c r="A35" s="93" t="s">
        <v>180</v>
      </c>
      <c r="B35" s="93" t="s">
        <v>183</v>
      </c>
      <c r="C35" s="93"/>
      <c r="D35" s="93"/>
      <c r="E35" s="93"/>
      <c r="F35" s="93"/>
      <c r="G35" s="93" t="s">
        <v>221</v>
      </c>
      <c r="H35" s="93" t="str">
        <f t="shared" si="2"/>
        <v>Professions</v>
      </c>
      <c r="I35" s="93" t="str">
        <f t="shared" si="3"/>
        <v>Professions</v>
      </c>
      <c r="J35" s="1">
        <f t="shared" si="4"/>
        <v>5</v>
      </c>
      <c r="K35" s="1" t="s">
        <v>239</v>
      </c>
    </row>
    <row r="36" spans="1:11" x14ac:dyDescent="0.25">
      <c r="A36" s="93" t="s">
        <v>180</v>
      </c>
      <c r="B36" s="93" t="s">
        <v>191</v>
      </c>
      <c r="C36" s="93" t="s">
        <v>191</v>
      </c>
      <c r="D36" s="93" t="s">
        <v>191</v>
      </c>
      <c r="E36" s="93"/>
      <c r="F36" s="93"/>
      <c r="G36" s="93" t="s">
        <v>207</v>
      </c>
      <c r="H36" s="93" t="str">
        <f t="shared" si="2"/>
        <v>Professions</v>
      </c>
      <c r="I36" s="93" t="str">
        <f t="shared" si="3"/>
        <v>Professions</v>
      </c>
      <c r="J36" s="1">
        <f t="shared" si="4"/>
        <v>5</v>
      </c>
      <c r="K36" s="1" t="s">
        <v>243</v>
      </c>
    </row>
    <row r="37" spans="1:11" x14ac:dyDescent="0.25">
      <c r="A37" s="93" t="s">
        <v>180</v>
      </c>
      <c r="B37" s="93" t="s">
        <v>192</v>
      </c>
      <c r="C37" s="93" t="s">
        <v>192</v>
      </c>
      <c r="D37" s="93"/>
      <c r="E37" s="93"/>
      <c r="F37" s="93"/>
      <c r="G37" s="93" t="s">
        <v>192</v>
      </c>
      <c r="H37" s="93" t="str">
        <f t="shared" si="2"/>
        <v>Professions</v>
      </c>
      <c r="I37" s="93" t="str">
        <f t="shared" si="3"/>
        <v>Professions</v>
      </c>
      <c r="J37" s="1">
        <f t="shared" si="4"/>
        <v>5</v>
      </c>
      <c r="K37" s="1" t="s">
        <v>245</v>
      </c>
    </row>
    <row r="38" spans="1:11" x14ac:dyDescent="0.25">
      <c r="A38" s="93" t="s">
        <v>180</v>
      </c>
      <c r="B38" s="93" t="s">
        <v>193</v>
      </c>
      <c r="C38" s="93" t="s">
        <v>193</v>
      </c>
      <c r="D38" s="93"/>
      <c r="E38" s="93"/>
      <c r="F38" s="93"/>
      <c r="G38" s="93" t="s">
        <v>193</v>
      </c>
      <c r="H38" s="93" t="str">
        <f t="shared" si="2"/>
        <v>Professions</v>
      </c>
      <c r="I38" s="93" t="str">
        <f t="shared" si="3"/>
        <v>Professions</v>
      </c>
      <c r="J38" s="1">
        <f t="shared" si="4"/>
        <v>5</v>
      </c>
      <c r="K38" s="1" t="s">
        <v>245</v>
      </c>
    </row>
    <row r="39" spans="1:11" x14ac:dyDescent="0.25">
      <c r="A39" s="93" t="s">
        <v>181</v>
      </c>
      <c r="B39" s="93" t="s">
        <v>184</v>
      </c>
      <c r="C39" s="93"/>
      <c r="D39" s="93"/>
      <c r="E39" s="93"/>
      <c r="F39" s="93"/>
      <c r="G39" s="93" t="s">
        <v>222</v>
      </c>
      <c r="H39" s="93" t="str">
        <f t="shared" si="2"/>
        <v>Roles</v>
      </c>
      <c r="I39" s="93" t="str">
        <f t="shared" si="3"/>
        <v>Rôles</v>
      </c>
      <c r="J39" s="1">
        <f t="shared" si="4"/>
        <v>6</v>
      </c>
      <c r="K39" s="1" t="s">
        <v>239</v>
      </c>
    </row>
    <row r="40" spans="1:11" x14ac:dyDescent="0.25">
      <c r="A40" s="93" t="s">
        <v>181</v>
      </c>
      <c r="B40" s="93" t="s">
        <v>194</v>
      </c>
      <c r="C40" s="93" t="s">
        <v>194</v>
      </c>
      <c r="D40" s="93" t="s">
        <v>194</v>
      </c>
      <c r="E40" s="93"/>
      <c r="F40" s="93"/>
      <c r="G40" s="93" t="s">
        <v>211</v>
      </c>
      <c r="H40" s="93" t="str">
        <f t="shared" si="2"/>
        <v>Roles</v>
      </c>
      <c r="I40" s="93" t="str">
        <f t="shared" si="3"/>
        <v>Rôles</v>
      </c>
      <c r="J40" s="1">
        <f t="shared" si="4"/>
        <v>6</v>
      </c>
      <c r="K40" s="1" t="s">
        <v>243</v>
      </c>
    </row>
    <row r="41" spans="1:11" x14ac:dyDescent="0.25">
      <c r="A41" s="93" t="s">
        <v>181</v>
      </c>
      <c r="B41" s="93" t="s">
        <v>24</v>
      </c>
      <c r="C41" s="93" t="s">
        <v>24</v>
      </c>
      <c r="D41" s="93" t="s">
        <v>24</v>
      </c>
      <c r="E41" s="93" t="s">
        <v>24</v>
      </c>
      <c r="F41" s="93" t="s">
        <v>76</v>
      </c>
      <c r="G41" s="93" t="s">
        <v>201</v>
      </c>
      <c r="H41" s="93" t="str">
        <f t="shared" si="2"/>
        <v>Roles</v>
      </c>
      <c r="I41" s="93" t="str">
        <f t="shared" si="3"/>
        <v>Rôles</v>
      </c>
      <c r="J41" s="1">
        <f t="shared" si="4"/>
        <v>6</v>
      </c>
      <c r="K41" s="1" t="s">
        <v>239</v>
      </c>
    </row>
    <row r="42" spans="1:11" x14ac:dyDescent="0.25">
      <c r="A42" s="93" t="s">
        <v>95</v>
      </c>
      <c r="B42" s="93" t="s">
        <v>1</v>
      </c>
      <c r="C42" s="93"/>
      <c r="D42" s="93"/>
      <c r="E42" s="93"/>
      <c r="F42" s="93"/>
      <c r="G42" s="93" t="s">
        <v>223</v>
      </c>
      <c r="H42" s="93" t="str">
        <f t="shared" si="2"/>
        <v>Salaries</v>
      </c>
      <c r="I42" s="93" t="str">
        <f t="shared" si="3"/>
        <v>Salariés</v>
      </c>
      <c r="J42" s="1">
        <f t="shared" si="4"/>
        <v>7</v>
      </c>
      <c r="K42" s="1" t="s">
        <v>239</v>
      </c>
    </row>
    <row r="43" spans="1:11" x14ac:dyDescent="0.25">
      <c r="A43" s="93" t="s">
        <v>95</v>
      </c>
      <c r="B43" s="93" t="s">
        <v>2</v>
      </c>
      <c r="C43" s="93" t="s">
        <v>2</v>
      </c>
      <c r="D43" s="93"/>
      <c r="E43" s="93"/>
      <c r="F43" s="93"/>
      <c r="G43" s="93" t="s">
        <v>2</v>
      </c>
      <c r="H43" s="93" t="str">
        <f t="shared" si="2"/>
        <v>Salaries</v>
      </c>
      <c r="I43" s="93" t="str">
        <f t="shared" si="3"/>
        <v>Salariés</v>
      </c>
      <c r="J43" s="1">
        <f t="shared" si="4"/>
        <v>7</v>
      </c>
      <c r="K43" s="1" t="s">
        <v>243</v>
      </c>
    </row>
    <row r="44" spans="1:11" x14ac:dyDescent="0.25">
      <c r="A44" s="93" t="s">
        <v>95</v>
      </c>
      <c r="B44" s="93" t="s">
        <v>0</v>
      </c>
      <c r="C44" s="93" t="s">
        <v>0</v>
      </c>
      <c r="D44" s="93" t="s">
        <v>0</v>
      </c>
      <c r="E44" s="93"/>
      <c r="F44" s="93"/>
      <c r="G44" s="93" t="s">
        <v>0</v>
      </c>
      <c r="H44" s="93" t="str">
        <f t="shared" si="2"/>
        <v>Salaries</v>
      </c>
      <c r="I44" s="93" t="str">
        <f t="shared" si="3"/>
        <v>Salariés</v>
      </c>
      <c r="J44" s="1">
        <f t="shared" si="4"/>
        <v>7</v>
      </c>
      <c r="K44" s="1" t="s">
        <v>243</v>
      </c>
    </row>
    <row r="45" spans="1:11" x14ac:dyDescent="0.25">
      <c r="A45" s="93" t="s">
        <v>95</v>
      </c>
      <c r="B45" s="93" t="s">
        <v>3</v>
      </c>
      <c r="C45" s="93" t="s">
        <v>3</v>
      </c>
      <c r="D45" s="93" t="s">
        <v>3</v>
      </c>
      <c r="E45" s="93"/>
      <c r="F45" s="93"/>
      <c r="G45" s="93" t="s">
        <v>3</v>
      </c>
      <c r="H45" s="93" t="str">
        <f t="shared" si="2"/>
        <v>Salaries</v>
      </c>
      <c r="I45" s="93" t="str">
        <f t="shared" si="3"/>
        <v>Salariés</v>
      </c>
      <c r="J45" s="1">
        <f t="shared" si="4"/>
        <v>7</v>
      </c>
      <c r="K45" s="1" t="s">
        <v>243</v>
      </c>
    </row>
    <row r="46" spans="1:11" x14ac:dyDescent="0.25">
      <c r="A46" s="93" t="s">
        <v>95</v>
      </c>
      <c r="B46" s="93" t="s">
        <v>4</v>
      </c>
      <c r="C46" s="93" t="s">
        <v>4</v>
      </c>
      <c r="D46" s="93"/>
      <c r="E46" s="93"/>
      <c r="F46" s="93"/>
      <c r="G46" s="93" t="s">
        <v>4</v>
      </c>
      <c r="H46" s="93" t="str">
        <f t="shared" si="2"/>
        <v>Salaries</v>
      </c>
      <c r="I46" s="93" t="str">
        <f t="shared" si="3"/>
        <v>Salariés</v>
      </c>
      <c r="J46" s="1">
        <f t="shared" si="4"/>
        <v>7</v>
      </c>
      <c r="K46" s="1" t="s">
        <v>244</v>
      </c>
    </row>
    <row r="47" spans="1:11" x14ac:dyDescent="0.25">
      <c r="A47" s="93" t="s">
        <v>165</v>
      </c>
      <c r="B47" s="93" t="s">
        <v>166</v>
      </c>
      <c r="C47" s="93"/>
      <c r="D47" s="93"/>
      <c r="E47" s="93"/>
      <c r="F47" s="93"/>
      <c r="G47" s="93" t="s">
        <v>224</v>
      </c>
      <c r="H47" s="93" t="str">
        <f t="shared" si="2"/>
        <v>Spectacles</v>
      </c>
      <c r="I47" s="93" t="str">
        <f t="shared" si="3"/>
        <v>Spectacles</v>
      </c>
      <c r="J47" s="1">
        <f t="shared" si="4"/>
        <v>8</v>
      </c>
      <c r="K47" s="1" t="s">
        <v>239</v>
      </c>
    </row>
    <row r="48" spans="1:11" x14ac:dyDescent="0.25">
      <c r="A48" s="93" t="s">
        <v>165</v>
      </c>
      <c r="B48" s="93" t="s">
        <v>167</v>
      </c>
      <c r="C48" s="93" t="s">
        <v>167</v>
      </c>
      <c r="D48" s="93"/>
      <c r="E48" s="93"/>
      <c r="F48" s="93"/>
      <c r="G48" s="93" t="s">
        <v>204</v>
      </c>
      <c r="H48" s="93" t="str">
        <f t="shared" si="2"/>
        <v>Spectacles</v>
      </c>
      <c r="I48" s="93" t="str">
        <f t="shared" si="3"/>
        <v>Spectacles</v>
      </c>
      <c r="J48" s="1">
        <f t="shared" si="4"/>
        <v>8</v>
      </c>
      <c r="K48" s="1" t="s">
        <v>243</v>
      </c>
    </row>
    <row r="49" spans="1:11" x14ac:dyDescent="0.25">
      <c r="A49" s="93" t="s">
        <v>165</v>
      </c>
      <c r="B49" s="93" t="s">
        <v>168</v>
      </c>
      <c r="C49" s="93" t="s">
        <v>168</v>
      </c>
      <c r="D49" s="93" t="s">
        <v>168</v>
      </c>
      <c r="E49" s="93"/>
      <c r="F49" s="93"/>
      <c r="G49" s="93" t="s">
        <v>205</v>
      </c>
      <c r="H49" s="93" t="str">
        <f t="shared" si="2"/>
        <v>Spectacles</v>
      </c>
      <c r="I49" s="93" t="str">
        <f t="shared" si="3"/>
        <v>Spectacles</v>
      </c>
      <c r="J49" s="1">
        <f t="shared" si="4"/>
        <v>8</v>
      </c>
      <c r="K49" s="1" t="s">
        <v>243</v>
      </c>
    </row>
    <row r="50" spans="1:11" x14ac:dyDescent="0.25">
      <c r="A50" s="93" t="s">
        <v>165</v>
      </c>
      <c r="B50" s="93" t="s">
        <v>24</v>
      </c>
      <c r="C50" s="93" t="s">
        <v>24</v>
      </c>
      <c r="D50" s="93"/>
      <c r="E50" s="93" t="s">
        <v>24</v>
      </c>
      <c r="F50" s="93" t="s">
        <v>76</v>
      </c>
      <c r="G50" s="93" t="s">
        <v>201</v>
      </c>
      <c r="H50" s="93" t="str">
        <f t="shared" si="2"/>
        <v>Spectacles</v>
      </c>
      <c r="I50" s="93" t="str">
        <f t="shared" si="3"/>
        <v>Spectacles</v>
      </c>
      <c r="J50" s="1">
        <f t="shared" si="4"/>
        <v>8</v>
      </c>
      <c r="K50" s="1" t="s">
        <v>239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88E0D-7AC2-4A07-B3CB-2F84C4D65074}">
  <sheetPr codeName="Feuil5"/>
  <dimension ref="A1:O19"/>
  <sheetViews>
    <sheetView showGridLines="0" tabSelected="1" zoomScaleNormal="100" workbookViewId="0">
      <pane ySplit="1" topLeftCell="A2" activePane="bottomLeft" state="frozen"/>
      <selection pane="bottomLeft" activeCell="A42" sqref="A42"/>
    </sheetView>
  </sheetViews>
  <sheetFormatPr baseColWidth="10" defaultColWidth="10.85546875" defaultRowHeight="15" x14ac:dyDescent="0.25"/>
  <cols>
    <col min="1" max="1" width="20.85546875" customWidth="1"/>
    <col min="2" max="2" width="5.7109375" customWidth="1"/>
    <col min="3" max="3" width="8.85546875" customWidth="1"/>
    <col min="4" max="4" width="11" bestFit="1" customWidth="1"/>
    <col min="5" max="5" width="23.42578125" bestFit="1" customWidth="1"/>
    <col min="6" max="6" width="14.42578125" bestFit="1" customWidth="1"/>
    <col min="7" max="7" width="21.85546875" bestFit="1" customWidth="1"/>
    <col min="8" max="8" width="12.140625" bestFit="1" customWidth="1"/>
    <col min="9" max="9" width="16.7109375" customWidth="1"/>
    <col min="10" max="10" width="5.85546875" bestFit="1" customWidth="1"/>
    <col min="11" max="11" width="10.5703125" bestFit="1" customWidth="1"/>
    <col min="12" max="12" width="22.42578125" bestFit="1" customWidth="1"/>
    <col min="13" max="13" width="11" bestFit="1" customWidth="1"/>
    <col min="14" max="14" width="10.42578125" bestFit="1" customWidth="1"/>
    <col min="15" max="15" width="14.42578125" bestFit="1" customWidth="1"/>
    <col min="16" max="16" width="21.85546875" bestFit="1" customWidth="1"/>
    <col min="17" max="17" width="3.140625" customWidth="1"/>
    <col min="18" max="18" width="1.140625" customWidth="1"/>
  </cols>
  <sheetData>
    <row r="1" spans="1:15" ht="113.25" customHeight="1" x14ac:dyDescent="0.25">
      <c r="A1" t="s">
        <v>221</v>
      </c>
      <c r="B1" t="s">
        <v>207</v>
      </c>
      <c r="C1" t="s">
        <v>192</v>
      </c>
      <c r="D1" t="s">
        <v>193</v>
      </c>
    </row>
    <row r="2" spans="1:15" x14ac:dyDescent="0.25">
      <c r="C2" t="s">
        <v>221</v>
      </c>
      <c r="D2" t="s">
        <v>207</v>
      </c>
      <c r="E2" t="s">
        <v>192</v>
      </c>
      <c r="F2" t="s">
        <v>193</v>
      </c>
    </row>
    <row r="5" spans="1:15" x14ac:dyDescent="0.25">
      <c r="G5" t="s">
        <v>191</v>
      </c>
    </row>
    <row r="8" spans="1:15" x14ac:dyDescent="0.25">
      <c r="D8" t="s">
        <v>221</v>
      </c>
      <c r="E8" t="s">
        <v>207</v>
      </c>
      <c r="F8" t="s">
        <v>192</v>
      </c>
      <c r="G8" t="s">
        <v>193</v>
      </c>
    </row>
    <row r="12" spans="1:15" x14ac:dyDescent="0.25">
      <c r="C12" t="s">
        <v>221</v>
      </c>
      <c r="D12" t="s">
        <v>207</v>
      </c>
      <c r="E12" t="s">
        <v>192</v>
      </c>
      <c r="F12" t="s">
        <v>193</v>
      </c>
    </row>
    <row r="14" spans="1:15" x14ac:dyDescent="0.25">
      <c r="L14" t="s">
        <v>221</v>
      </c>
      <c r="M14" t="s">
        <v>207</v>
      </c>
      <c r="N14" t="s">
        <v>192</v>
      </c>
      <c r="O14" t="s">
        <v>193</v>
      </c>
    </row>
    <row r="19" spans="4:7" x14ac:dyDescent="0.25">
      <c r="D19" t="s">
        <v>221</v>
      </c>
      <c r="E19" t="s">
        <v>207</v>
      </c>
      <c r="F19" t="s">
        <v>192</v>
      </c>
      <c r="G19" t="s">
        <v>193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182F-3443-4FBC-B764-076F5CC763A6}">
  <sheetPr codeName="Feuil3"/>
  <dimension ref="A2:D4"/>
  <sheetViews>
    <sheetView showGridLines="0" workbookViewId="0">
      <selection activeCell="A2" sqref="A2"/>
    </sheetView>
  </sheetViews>
  <sheetFormatPr baseColWidth="10" defaultRowHeight="15" x14ac:dyDescent="0.25"/>
  <cols>
    <col min="6" max="6" width="22.7109375" bestFit="1" customWidth="1"/>
    <col min="7" max="7" width="10.7109375" bestFit="1" customWidth="1"/>
    <col min="8" max="8" width="11" customWidth="1"/>
  </cols>
  <sheetData>
    <row r="2" spans="1:4" x14ac:dyDescent="0.25">
      <c r="A2">
        <v>1</v>
      </c>
      <c r="B2" t="s">
        <v>270</v>
      </c>
      <c r="C2" t="b">
        <v>0</v>
      </c>
      <c r="D2" t="b">
        <v>1</v>
      </c>
    </row>
    <row r="3" spans="1:4" x14ac:dyDescent="0.25">
      <c r="A3">
        <v>2</v>
      </c>
      <c r="B3" t="s">
        <v>271</v>
      </c>
      <c r="C3" t="b">
        <v>0</v>
      </c>
      <c r="D3" t="b">
        <v>1</v>
      </c>
    </row>
    <row r="4" spans="1:4" x14ac:dyDescent="0.25">
      <c r="A4">
        <v>3</v>
      </c>
      <c r="B4" t="s">
        <v>272</v>
      </c>
      <c r="C4" t="b">
        <v>0</v>
      </c>
      <c r="D4" t="b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39</vt:i4>
      </vt:variant>
    </vt:vector>
  </HeadingPairs>
  <TitlesOfParts>
    <vt:vector size="50" baseType="lpstr">
      <vt:lpstr>data</vt:lpstr>
      <vt:lpstr>Pieces</vt:lpstr>
      <vt:lpstr>salaries</vt:lpstr>
      <vt:lpstr>Lieux</vt:lpstr>
      <vt:lpstr>Lieux (2)</vt:lpstr>
      <vt:lpstr>regulartest</vt:lpstr>
      <vt:lpstr>sommaire</vt:lpstr>
      <vt:lpstr>color</vt:lpstr>
      <vt:lpstr>dashboard</vt:lpstr>
      <vt:lpstr>nav</vt:lpstr>
      <vt:lpstr>BD</vt:lpstr>
      <vt:lpstr>Lieux!adresseNameTable</vt:lpstr>
      <vt:lpstr>'Lieux (2)'!adresseNameTable</vt:lpstr>
      <vt:lpstr>nav!adresseNameTable</vt:lpstr>
      <vt:lpstr>salaries!adresseNameTable</vt:lpstr>
      <vt:lpstr>adresseNameTable</vt:lpstr>
      <vt:lpstr>Lieux!startAddNewRecord</vt:lpstr>
      <vt:lpstr>'Lieux (2)'!startAddNewRecord</vt:lpstr>
      <vt:lpstr>nav!startAddNewRecord</vt:lpstr>
      <vt:lpstr>salaries!startAddNewRecord</vt:lpstr>
      <vt:lpstr>startAddNewRecord</vt:lpstr>
      <vt:lpstr>startBD</vt:lpstr>
      <vt:lpstr>Lieux!startDeleteOnRecord</vt:lpstr>
      <vt:lpstr>'Lieux (2)'!startDeleteOnRecord</vt:lpstr>
      <vt:lpstr>nav!startDeleteOnRecord</vt:lpstr>
      <vt:lpstr>salaries!startDeleteOnRecord</vt:lpstr>
      <vt:lpstr>startDeleteOnRecord</vt:lpstr>
      <vt:lpstr>Lieux!startFieldToSearch</vt:lpstr>
      <vt:lpstr>'Lieux (2)'!startFieldToSearch</vt:lpstr>
      <vt:lpstr>nav!startFieldToSearch</vt:lpstr>
      <vt:lpstr>salaries!startFieldToSearch</vt:lpstr>
      <vt:lpstr>startFieldToSearch</vt:lpstr>
      <vt:lpstr>startHideBD</vt:lpstr>
      <vt:lpstr>startMatriceBD</vt:lpstr>
      <vt:lpstr>StartNomFeuille</vt:lpstr>
      <vt:lpstr>Lieux!startShowOnRecord</vt:lpstr>
      <vt:lpstr>'Lieux (2)'!startShowOnRecord</vt:lpstr>
      <vt:lpstr>nav!startShowOnRecord</vt:lpstr>
      <vt:lpstr>Pieces!startShowOnRecord</vt:lpstr>
      <vt:lpstr>salaries!startShowOnRecord</vt:lpstr>
      <vt:lpstr>Lieux!startTableInvisible</vt:lpstr>
      <vt:lpstr>'Lieux (2)'!startTableInvisible</vt:lpstr>
      <vt:lpstr>nav!startTableInvisible</vt:lpstr>
      <vt:lpstr>salaries!startTableInvisible</vt:lpstr>
      <vt:lpstr>startTableInvisible</vt:lpstr>
      <vt:lpstr>Lieux!startTableVisible</vt:lpstr>
      <vt:lpstr>'Lieux (2)'!startTableVisible</vt:lpstr>
      <vt:lpstr>nav!startTableVisible</vt:lpstr>
      <vt:lpstr>salaries!startTableVisible</vt:lpstr>
      <vt:lpstr>startTableVisible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Bordes</dc:creator>
  <cp:keywords/>
  <dc:description/>
  <cp:lastModifiedBy>BORDES Nicolas</cp:lastModifiedBy>
  <cp:revision/>
  <dcterms:created xsi:type="dcterms:W3CDTF">2022-04-21T07:38:57Z</dcterms:created>
  <dcterms:modified xsi:type="dcterms:W3CDTF">2023-12-19T13:24:01Z</dcterms:modified>
  <cp:category/>
  <cp:contentStatus/>
</cp:coreProperties>
</file>