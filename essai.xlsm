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3DAC9D2A-BF27-40A9-932A-3619D479C2C2}" xr6:coauthVersionLast="47" xr6:coauthVersionMax="47" xr10:uidLastSave="{00000000-0000-0000-0000-000000000000}"/>
  <bookViews>
    <workbookView showVerticalScroll="0" xWindow="-120" yWindow="-120" windowWidth="25440" windowHeight="15390" tabRatio="661" activeTab="9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Feuil1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nav!$M$2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nav!$D$9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nav!$C$13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nav!$G$6</definedName>
    <definedName name="startFieldToSearch" localSheetId="2">salaries!$F$6</definedName>
    <definedName name="startFieldToSearch">Pieces!$F$6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nav!$C$3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nav!$L$15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nav!$D$20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15" l="1" a="1"/>
  <c r="X17" i="15" s="1"/>
  <c r="S17" i="15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<sst xmlns="http://schemas.openxmlformats.org/spreadsheetml/2006/main" count="873" uniqueCount="270">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</sst>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0</xdr:col>
      <xdr:colOff>1362788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2</xdr:col>
      <xdr:colOff>28119</xdr:colOff>
      <xdr:row>0</xdr:row>
      <xdr:rowOff>636714</xdr:rowOff>
    </xdr:from>
    <xdr:to>
      <xdr:col>4</xdr:col>
      <xdr:colOff>4707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920110</xdr:colOff>
      <xdr:row>0</xdr:row>
      <xdr:rowOff>662931</xdr:rowOff>
    </xdr:from>
    <xdr:to>
      <xdr:col>7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5</xdr:col>
      <xdr:colOff>298658</xdr:colOff>
      <xdr:row>0</xdr:row>
      <xdr:rowOff>633672</xdr:rowOff>
    </xdr:from>
    <xdr:to>
      <xdr:col>6</xdr:col>
      <xdr:colOff>390525</xdr:colOff>
      <xdr:row>0</xdr:row>
      <xdr:rowOff>942976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565733" y="63367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>
    <xdr:from>
      <xdr:col>8</xdr:col>
      <xdr:colOff>257175</xdr:colOff>
      <xdr:row>0</xdr:row>
      <xdr:rowOff>57150</xdr:rowOff>
    </xdr:from>
    <xdr:to>
      <xdr:col>13</xdr:col>
      <xdr:colOff>400050</xdr:colOff>
      <xdr:row>0</xdr:row>
      <xdr:rowOff>485775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C24BCAE-CE63-D4FD-5277-382F6BD03E47}"/>
            </a:ext>
          </a:extLst>
        </xdr:cNvPr>
        <xdr:cNvGrpSpPr/>
      </xdr:nvGrpSpPr>
      <xdr:grpSpPr>
        <a:xfrm>
          <a:off x="8143875" y="57150"/>
          <a:ext cx="4581525" cy="428625"/>
          <a:chOff x="6753225" y="381000"/>
          <a:chExt cx="4581525" cy="428625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E97E9EDA-25AF-19B0-0850-21BBD39205DF}"/>
              </a:ext>
            </a:extLst>
          </xdr:cNvPr>
          <xdr:cNvSpPr/>
        </xdr:nvSpPr>
        <xdr:spPr>
          <a:xfrm>
            <a:off x="675322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FBC94B7-4D5A-463F-89E5-3B267B3755D9}"/>
              </a:ext>
            </a:extLst>
          </xdr:cNvPr>
          <xdr:cNvSpPr/>
        </xdr:nvSpPr>
        <xdr:spPr>
          <a:xfrm>
            <a:off x="791527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26D165C6-6662-4C6E-AFB9-A919DF62557C}"/>
              </a:ext>
            </a:extLst>
          </xdr:cNvPr>
          <xdr:cNvSpPr/>
        </xdr:nvSpPr>
        <xdr:spPr>
          <a:xfrm>
            <a:off x="907732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B5A469C-D31F-49C9-B3D3-50A8FDAF9CD0}"/>
              </a:ext>
            </a:extLst>
          </xdr:cNvPr>
          <xdr:cNvSpPr/>
        </xdr:nvSpPr>
        <xdr:spPr>
          <a:xfrm>
            <a:off x="1023937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8</xdr:col>
      <xdr:colOff>847725</xdr:colOff>
      <xdr:row>7</xdr:row>
      <xdr:rowOff>180975</xdr:rowOff>
    </xdr:from>
    <xdr:to>
      <xdr:col>10</xdr:col>
      <xdr:colOff>104775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7343775" y="2762250"/>
          <a:ext cx="7620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228600</xdr:colOff>
      <xdr:row>13</xdr:row>
      <xdr:rowOff>76200</xdr:rowOff>
    </xdr:from>
    <xdr:to>
      <xdr:col>8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7</xdr:col>
      <xdr:colOff>285750</xdr:colOff>
      <xdr:row>20</xdr:row>
      <xdr:rowOff>171450</xdr:rowOff>
    </xdr:from>
    <xdr:to>
      <xdr:col>8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8</xdr:col>
      <xdr:colOff>996950</xdr:colOff>
      <xdr:row>9</xdr:row>
      <xdr:rowOff>108710</xdr:rowOff>
    </xdr:from>
    <xdr:to>
      <xdr:col>9</xdr:col>
      <xdr:colOff>242525</xdr:colOff>
      <xdr:row>11</xdr:row>
      <xdr:rowOff>87710</xdr:rowOff>
    </xdr:to>
    <xdr:grpSp>
      <xdr:nvGrpSpPr>
        <xdr:cNvPr id="22" name="AllR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888365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304801</xdr:colOff>
      <xdr:row>9</xdr:row>
      <xdr:rowOff>1</xdr:rowOff>
    </xdr:from>
    <xdr:to>
      <xdr:col>11</xdr:col>
      <xdr:colOff>539751</xdr:colOff>
      <xdr:row>10</xdr:row>
      <xdr:rowOff>57151</xdr:rowOff>
    </xdr:to>
    <xdr:sp macro="[0]!diminution" textlink="">
      <xdr:nvSpPr>
        <xdr:cNvPr id="23" name="closeR" hidden="1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  <xdr:twoCellAnchor>
    <xdr:from>
      <xdr:col>12</xdr:col>
      <xdr:colOff>609600</xdr:colOff>
      <xdr:row>3</xdr:row>
      <xdr:rowOff>47625</xdr:rowOff>
    </xdr:from>
    <xdr:to>
      <xdr:col>14</xdr:col>
      <xdr:colOff>371475</xdr:colOff>
      <xdr:row>5</xdr:row>
      <xdr:rowOff>66675</xdr:rowOff>
    </xdr:to>
    <xdr:sp macro="[0]!ShapeBtn" textlink="">
      <xdr:nvSpPr>
        <xdr:cNvPr id="24" name="toto5">
          <a:extLst>
            <a:ext uri="{FF2B5EF4-FFF2-40B4-BE49-F238E27FC236}">
              <a16:creationId xmlns:a16="http://schemas.microsoft.com/office/drawing/2014/main" id="{83F812FA-FCEB-616B-FA7F-67CCABB09269}"/>
            </a:ext>
          </a:extLst>
        </xdr:cNvPr>
        <xdr:cNvSpPr/>
      </xdr:nvSpPr>
      <xdr:spPr>
        <a:xfrm>
          <a:off x="10810875" y="1866900"/>
          <a:ext cx="119062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Professions</a:t>
          </a:r>
        </a:p>
      </xdr:txBody>
    </xdr:sp>
    <xdr:clientData/>
  </xdr:twoCellAnchor>
  <xdr:twoCellAnchor editAs="absolute">
    <xdr:from>
      <xdr:col>0</xdr:col>
      <xdr:colOff>85725</xdr:colOff>
      <xdr:row>2</xdr:row>
      <xdr:rowOff>76200</xdr:rowOff>
    </xdr:from>
    <xdr:to>
      <xdr:col>0</xdr:col>
      <xdr:colOff>1190625</xdr:colOff>
      <xdr:row>21</xdr:row>
      <xdr:rowOff>104775</xdr:rowOff>
    </xdr:to>
    <xdr:grpSp>
      <xdr:nvGrpSpPr>
        <xdr:cNvPr id="34" name="boutons">
          <a:extLst>
            <a:ext uri="{FF2B5EF4-FFF2-40B4-BE49-F238E27FC236}">
              <a16:creationId xmlns:a16="http://schemas.microsoft.com/office/drawing/2014/main" id="{0F4CA67F-78F8-5D7F-A139-A9C3BC252B64}"/>
            </a:ext>
          </a:extLst>
        </xdr:cNvPr>
        <xdr:cNvGrpSpPr/>
      </xdr:nvGrpSpPr>
      <xdr:grpSpPr>
        <a:xfrm>
          <a:off x="85725" y="1704975"/>
          <a:ext cx="1104900" cy="3648075"/>
          <a:chOff x="13268325" y="1695450"/>
          <a:chExt cx="1104900" cy="3648075"/>
        </a:xfrm>
      </xdr:grpSpPr>
      <xdr:sp macro="[0]!shapeNav" textlink="">
        <xdr:nvSpPr>
          <xdr:cNvPr id="25" name="titi1">
            <a:extLst>
              <a:ext uri="{FF2B5EF4-FFF2-40B4-BE49-F238E27FC236}">
                <a16:creationId xmlns:a16="http://schemas.microsoft.com/office/drawing/2014/main" id="{6F75F81A-F437-93CB-9EB1-8688DC6E76EB}"/>
              </a:ext>
            </a:extLst>
          </xdr:cNvPr>
          <xdr:cNvSpPr/>
        </xdr:nvSpPr>
        <xdr:spPr>
          <a:xfrm>
            <a:off x="13268325" y="169545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/>
              <a:t>Distribution artistique</a:t>
            </a:r>
          </a:p>
        </xdr:txBody>
      </xdr:sp>
      <xdr:sp macro="[0]!shapeNav" textlink="">
        <xdr:nvSpPr>
          <xdr:cNvPr id="26" name="titi2">
            <a:extLst>
              <a:ext uri="{FF2B5EF4-FFF2-40B4-BE49-F238E27FC236}">
                <a16:creationId xmlns:a16="http://schemas.microsoft.com/office/drawing/2014/main" id="{91734B8D-AB76-4D2F-BA16-404FA37D1C2C}"/>
              </a:ext>
            </a:extLst>
          </xdr:cNvPr>
          <xdr:cNvSpPr/>
        </xdr:nvSpPr>
        <xdr:spPr>
          <a:xfrm>
            <a:off x="13268325" y="215401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/>
              <a:t>Distribution technique</a:t>
            </a:r>
          </a:p>
        </xdr:txBody>
      </xdr:sp>
      <xdr:sp macro="[0]!shapeNav" textlink="">
        <xdr:nvSpPr>
          <xdr:cNvPr id="27" name="titi3">
            <a:extLst>
              <a:ext uri="{FF2B5EF4-FFF2-40B4-BE49-F238E27FC236}">
                <a16:creationId xmlns:a16="http://schemas.microsoft.com/office/drawing/2014/main" id="{34508718-3918-4D5A-8A4C-E28823E6C8D7}"/>
              </a:ext>
            </a:extLst>
          </xdr:cNvPr>
          <xdr:cNvSpPr/>
        </xdr:nvSpPr>
        <xdr:spPr>
          <a:xfrm>
            <a:off x="13268325" y="2612572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/>
              <a:t>Lieux de représentation</a:t>
            </a:r>
          </a:p>
        </xdr:txBody>
      </xdr:sp>
      <xdr:sp macro="[0]!shapeNav" textlink="">
        <xdr:nvSpPr>
          <xdr:cNvPr id="28" name="titi4">
            <a:extLst>
              <a:ext uri="{FF2B5EF4-FFF2-40B4-BE49-F238E27FC236}">
                <a16:creationId xmlns:a16="http://schemas.microsoft.com/office/drawing/2014/main" id="{4CF6727C-F4F6-4775-8A92-F7ADA8254D9F}"/>
              </a:ext>
            </a:extLst>
          </xdr:cNvPr>
          <xdr:cNvSpPr/>
        </xdr:nvSpPr>
        <xdr:spPr>
          <a:xfrm>
            <a:off x="13268325" y="3071133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/>
              <a:t>Pièces</a:t>
            </a:r>
          </a:p>
        </xdr:txBody>
      </xdr:sp>
      <xdr:sp macro="[0]!shapeNav" textlink="">
        <xdr:nvSpPr>
          <xdr:cNvPr id="29" name="titi5">
            <a:extLst>
              <a:ext uri="{FF2B5EF4-FFF2-40B4-BE49-F238E27FC236}">
                <a16:creationId xmlns:a16="http://schemas.microsoft.com/office/drawing/2014/main" id="{34F2EDEA-39EE-48A0-8181-7113FA4FF9DD}"/>
              </a:ext>
            </a:extLst>
          </xdr:cNvPr>
          <xdr:cNvSpPr/>
        </xdr:nvSpPr>
        <xdr:spPr>
          <a:xfrm>
            <a:off x="13268325" y="3529694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/>
              <a:t>Professions</a:t>
            </a:r>
          </a:p>
        </xdr:txBody>
      </xdr:sp>
      <xdr:sp macro="[0]!shapeNav" textlink="">
        <xdr:nvSpPr>
          <xdr:cNvPr id="30" name="titi6">
            <a:extLst>
              <a:ext uri="{FF2B5EF4-FFF2-40B4-BE49-F238E27FC236}">
                <a16:creationId xmlns:a16="http://schemas.microsoft.com/office/drawing/2014/main" id="{B9F8C246-F6AD-4163-B81D-6BC1774B9357}"/>
              </a:ext>
            </a:extLst>
          </xdr:cNvPr>
          <xdr:cNvSpPr/>
        </xdr:nvSpPr>
        <xdr:spPr>
          <a:xfrm>
            <a:off x="13268325" y="398825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/>
              <a:t>Rôles</a:t>
            </a:r>
          </a:p>
        </xdr:txBody>
      </xdr:sp>
      <xdr:sp macro="[0]!shapeNav" textlink="">
        <xdr:nvSpPr>
          <xdr:cNvPr id="31" name="titi7">
            <a:extLst>
              <a:ext uri="{FF2B5EF4-FFF2-40B4-BE49-F238E27FC236}">
                <a16:creationId xmlns:a16="http://schemas.microsoft.com/office/drawing/2014/main" id="{036A482B-972E-4FA5-AB9D-AC9EBF6197BB}"/>
              </a:ext>
            </a:extLst>
          </xdr:cNvPr>
          <xdr:cNvSpPr/>
        </xdr:nvSpPr>
        <xdr:spPr>
          <a:xfrm>
            <a:off x="13268325" y="444681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/>
              <a:t>Salariés</a:t>
            </a:r>
          </a:p>
        </xdr:txBody>
      </xdr:sp>
      <xdr:sp macro="[0]!shapeNav" textlink="">
        <xdr:nvSpPr>
          <xdr:cNvPr id="32" name="titi8">
            <a:extLst>
              <a:ext uri="{FF2B5EF4-FFF2-40B4-BE49-F238E27FC236}">
                <a16:creationId xmlns:a16="http://schemas.microsoft.com/office/drawing/2014/main" id="{D7D1795F-4E8A-4095-B121-4782443A8BE9}"/>
              </a:ext>
            </a:extLst>
          </xdr:cNvPr>
          <xdr:cNvSpPr/>
        </xdr:nvSpPr>
        <xdr:spPr>
          <a:xfrm>
            <a:off x="13268325" y="49053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/>
              <a:t>Spectacles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opLeftCell="J3" zoomScale="115" zoomScaleNormal="115" workbookViewId="0">
      <pane ySplit="9" topLeftCell="A15" activePane="bottomLeft" state="frozen"/>
      <selection activeCell="A3" sqref="A3"/>
      <selection pane="bottomLeft" activeCell="W34" sqref="W34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4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  <c r="X17" t="str" cm="1">
        <f t="array" ref="X17:X24">_xlfn.UNIQUE(I12:I50)</f>
        <v>Distribution artistique</v>
      </c>
    </row>
    <row r="18" spans="1:24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  <c r="X18" t="str">
        <v>Distribution technique</v>
      </c>
    </row>
    <row r="19" spans="1:24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  <c r="X19" t="str">
        <v>Lieux de représentation</v>
      </c>
    </row>
    <row r="20" spans="1:24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  <c r="X20" t="str">
        <v>Pièces</v>
      </c>
    </row>
    <row r="21" spans="1:24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265</v>
      </c>
      <c r="X21" t="str">
        <v>Professions</v>
      </c>
    </row>
    <row r="22" spans="1:24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  <c r="X22" t="str">
        <v>Rôles</v>
      </c>
    </row>
    <row r="23" spans="1:24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  <c r="X23" t="str">
        <v>Salariés</v>
      </c>
    </row>
    <row r="24" spans="1:24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  <c r="X24" t="str">
        <v>Spectacles</v>
      </c>
    </row>
    <row r="25" spans="1:24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4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</row>
    <row r="27" spans="1:24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4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4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4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4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4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C1:Q19"/>
  <sheetViews>
    <sheetView showGridLines="0" tabSelected="1" zoomScaleNormal="100" workbookViewId="0">
      <pane ySplit="1" topLeftCell="A2" activePane="bottomLeft" state="frozen"/>
      <selection pane="bottomLeft" activeCell="N3" sqref="N3"/>
    </sheetView>
  </sheetViews>
  <sheetFormatPr baseColWidth="10" defaultColWidth="10.85546875" defaultRowHeight="15" x14ac:dyDescent="0.25"/>
  <cols>
    <col min="1" max="1" width="20.85546875" customWidth="1"/>
    <col min="2" max="2" width="5.7109375" customWidth="1"/>
    <col min="3" max="3" width="8.85546875" customWidth="1"/>
    <col min="4" max="4" width="11" bestFit="1" customWidth="1"/>
    <col min="5" max="5" width="23.42578125" bestFit="1" customWidth="1"/>
    <col min="6" max="6" width="14.42578125" bestFit="1" customWidth="1"/>
    <col min="7" max="7" width="21.85546875" bestFit="1" customWidth="1"/>
    <col min="8" max="8" width="12.140625" bestFit="1" customWidth="1"/>
    <col min="9" max="9" width="16.7109375" customWidth="1"/>
    <col min="10" max="10" width="5.85546875" bestFit="1" customWidth="1"/>
    <col min="11" max="11" width="10.5703125" bestFit="1" customWidth="1"/>
    <col min="12" max="12" width="22.42578125" bestFit="1" customWidth="1"/>
    <col min="13" max="13" width="11" bestFit="1" customWidth="1"/>
    <col min="14" max="14" width="10.42578125" bestFit="1" customWidth="1"/>
    <col min="15" max="15" width="14.42578125" bestFit="1" customWidth="1"/>
    <col min="16" max="16" width="21.85546875" bestFit="1" customWidth="1"/>
    <col min="17" max="17" width="3.140625" customWidth="1"/>
    <col min="18" max="18" width="1.140625" customWidth="1"/>
  </cols>
  <sheetData>
    <row r="1" spans="3:17" ht="113.25" customHeight="1" x14ac:dyDescent="0.25"/>
    <row r="2" spans="3:17" x14ac:dyDescent="0.25">
      <c r="C2" t="s">
        <v>219</v>
      </c>
      <c r="D2" t="s">
        <v>202</v>
      </c>
      <c r="E2" t="s">
        <v>195</v>
      </c>
      <c r="F2" t="s">
        <v>199</v>
      </c>
      <c r="G2" t="s">
        <v>200</v>
      </c>
      <c r="H2" t="s">
        <v>203</v>
      </c>
    </row>
    <row r="5" spans="3:17" x14ac:dyDescent="0.25">
      <c r="G5" t="s">
        <v>1</v>
      </c>
      <c r="H5" t="s">
        <v>186</v>
      </c>
    </row>
    <row r="8" spans="3:17" x14ac:dyDescent="0.25">
      <c r="D8" t="s">
        <v>219</v>
      </c>
      <c r="E8" t="s">
        <v>202</v>
      </c>
      <c r="F8" t="s">
        <v>195</v>
      </c>
      <c r="G8" t="s">
        <v>199</v>
      </c>
      <c r="H8" t="s">
        <v>200</v>
      </c>
      <c r="I8" t="s">
        <v>203</v>
      </c>
    </row>
    <row r="12" spans="3:17" x14ac:dyDescent="0.25">
      <c r="C12" t="s">
        <v>219</v>
      </c>
      <c r="D12" t="s">
        <v>202</v>
      </c>
      <c r="E12" t="s">
        <v>195</v>
      </c>
      <c r="F12" t="s">
        <v>199</v>
      </c>
      <c r="G12" t="s">
        <v>200</v>
      </c>
      <c r="H12" t="s">
        <v>203</v>
      </c>
    </row>
    <row r="14" spans="3:17" x14ac:dyDescent="0.25">
      <c r="L14" t="s">
        <v>219</v>
      </c>
      <c r="M14" t="s">
        <v>202</v>
      </c>
      <c r="N14" t="s">
        <v>195</v>
      </c>
      <c r="O14" t="s">
        <v>199</v>
      </c>
      <c r="P14" t="s">
        <v>200</v>
      </c>
      <c r="Q14" t="s">
        <v>203</v>
      </c>
    </row>
    <row r="19" spans="4:9" x14ac:dyDescent="0.25">
      <c r="D19" t="s">
        <v>219</v>
      </c>
      <c r="E19" t="s">
        <v>202</v>
      </c>
      <c r="F19" t="s">
        <v>195</v>
      </c>
      <c r="G19" t="s">
        <v>199</v>
      </c>
      <c r="H19" t="s">
        <v>200</v>
      </c>
      <c r="I19" t="s">
        <v>203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B2:K13"/>
  <sheetViews>
    <sheetView showGridLines="0" workbookViewId="0">
      <selection activeCell="J10" sqref="J10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>
    <row r="2" spans="2:11" x14ac:dyDescent="0.25">
      <c r="B2" t="s">
        <v>260</v>
      </c>
    </row>
    <row r="3" spans="2:11" x14ac:dyDescent="0.25">
      <c r="B3">
        <v>9</v>
      </c>
    </row>
    <row r="5" spans="2:11" x14ac:dyDescent="0.25">
      <c r="B5" t="s">
        <v>259</v>
      </c>
      <c r="G5" t="s">
        <v>217</v>
      </c>
      <c r="H5" t="s">
        <v>212</v>
      </c>
      <c r="I5" t="s">
        <v>106</v>
      </c>
      <c r="J5" t="s">
        <v>107</v>
      </c>
      <c r="K5" t="s">
        <v>108</v>
      </c>
    </row>
    <row r="6" spans="2:11" x14ac:dyDescent="0.25">
      <c r="B6" t="s">
        <v>260</v>
      </c>
    </row>
    <row r="7" spans="2:11" x14ac:dyDescent="0.25">
      <c r="B7" t="s">
        <v>261</v>
      </c>
    </row>
    <row r="8" spans="2:11" x14ac:dyDescent="0.25">
      <c r="B8" t="s">
        <v>262</v>
      </c>
    </row>
    <row r="9" spans="2:11" x14ac:dyDescent="0.25">
      <c r="B9" t="s">
        <v>263</v>
      </c>
    </row>
    <row r="10" spans="2:11" x14ac:dyDescent="0.25">
      <c r="B10" t="s">
        <v>264</v>
      </c>
    </row>
    <row r="11" spans="2:11" x14ac:dyDescent="0.25">
      <c r="B11" t="s">
        <v>265</v>
      </c>
    </row>
    <row r="12" spans="2:11" x14ac:dyDescent="0.25">
      <c r="B12" t="s">
        <v>266</v>
      </c>
    </row>
    <row r="13" spans="2:11" x14ac:dyDescent="0.25">
      <c r="B13" t="s">
        <v>267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38</vt:i4>
      </vt:variant>
    </vt:vector>
  </HeadingPairs>
  <TitlesOfParts>
    <vt:vector size="49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Feuil1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2023-12-18T14:50:36Z</dcterms:modified>
  <cp:category/>
  <cp:contentStatus/>
</cp:coreProperties>
</file>