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400C8E7F-6BE3-4846-AD0D-16BC69BBEFC4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liaisonID">nav!$P$3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3" l="1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U17" i="3"/>
  <c r="U17" i="3" a="1"/>
  <c r="H17" i="3"/>
  <c r="H16" i="3"/>
  <c r="H15" i="3"/>
  <c r="H14" i="3"/>
  <c r="H13" i="3"/>
  <c r="H12" i="3"/>
  <c r="S17" i="3" s="1" a="1"/>
  <c r="S17" i="3" s="1"/>
  <c r="G4" i="3"/>
  <c r="F5" i="3" s="1"/>
  <c r="F4" i="3"/>
  <c r="E5" i="3" s="1"/>
  <c r="C4" i="3"/>
  <c r="B5" i="3" s="1"/>
  <c r="B3" i="3" a="1"/>
  <c r="I4" i="3" s="1"/>
  <c r="H5" i="3" s="1"/>
  <c r="J16" i="3" l="1"/>
  <c r="J50" i="3"/>
  <c r="I19" i="3"/>
  <c r="I23" i="3"/>
  <c r="I35" i="3"/>
  <c r="I39" i="3"/>
  <c r="J48" i="3"/>
  <c r="J24" i="3"/>
  <c r="J40" i="3"/>
  <c r="J44" i="3"/>
  <c r="I25" i="3"/>
  <c r="I29" i="3"/>
  <c r="I41" i="3"/>
  <c r="I45" i="3"/>
  <c r="D4" i="3"/>
  <c r="C5" i="3" s="1"/>
  <c r="H4" i="3"/>
  <c r="G5" i="3" s="1"/>
  <c r="I13" i="3"/>
  <c r="B3" i="3"/>
  <c r="E4" i="3"/>
  <c r="D5" i="3" s="1"/>
  <c r="I12" i="3"/>
  <c r="J21" i="3"/>
  <c r="J25" i="3"/>
  <c r="J29" i="3"/>
  <c r="J37" i="3"/>
  <c r="J41" i="3"/>
  <c r="J45" i="3"/>
  <c r="I47" i="3"/>
  <c r="I50" i="3"/>
  <c r="I49" i="3" l="1"/>
  <c r="J46" i="3"/>
  <c r="J42" i="3"/>
  <c r="J38" i="3"/>
  <c r="J34" i="3"/>
  <c r="J30" i="3"/>
  <c r="J26" i="3"/>
  <c r="J22" i="3"/>
  <c r="J18" i="3"/>
  <c r="J43" i="3"/>
  <c r="I42" i="3"/>
  <c r="J39" i="3"/>
  <c r="I38" i="3"/>
  <c r="J35" i="3"/>
  <c r="I34" i="3"/>
  <c r="J31" i="3"/>
  <c r="I30" i="3"/>
  <c r="J27" i="3"/>
  <c r="I26" i="3"/>
  <c r="J23" i="3"/>
  <c r="I22" i="3"/>
  <c r="J19" i="3"/>
  <c r="I18" i="3"/>
  <c r="J15" i="3"/>
  <c r="I14" i="3"/>
  <c r="X17" i="3" s="1" a="1"/>
  <c r="X17" i="3" s="1"/>
  <c r="I46" i="3"/>
  <c r="J49" i="3"/>
  <c r="I48" i="3"/>
  <c r="I44" i="3"/>
  <c r="I40" i="3"/>
  <c r="I36" i="3"/>
  <c r="I32" i="3"/>
  <c r="I28" i="3"/>
  <c r="I24" i="3"/>
  <c r="I20" i="3"/>
  <c r="J14" i="3"/>
  <c r="B4" i="3"/>
  <c r="J4" i="3" s="1" a="1"/>
  <c r="J4" i="3" s="1"/>
  <c r="I5" i="3" s="1"/>
  <c r="I37" i="3"/>
  <c r="I21" i="3"/>
  <c r="J36" i="3"/>
  <c r="J47" i="3"/>
  <c r="I31" i="3"/>
  <c r="J17" i="3"/>
  <c r="J28" i="3"/>
  <c r="J12" i="3"/>
  <c r="J33" i="3"/>
  <c r="I16" i="3"/>
  <c r="I17" i="3"/>
  <c r="J20" i="3"/>
  <c r="I33" i="3"/>
  <c r="I15" i="3"/>
  <c r="J32" i="3"/>
  <c r="I43" i="3"/>
  <c r="I27" i="3"/>
  <c r="J13" i="3"/>
  <c r="R17" i="3" l="1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<sst xmlns="http://schemas.openxmlformats.org/spreadsheetml/2006/main" count="288" uniqueCount="107">
  <si>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</si>
  <si>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</si>
  <si>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</si>
  <si>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</si>
  <si>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</si>
  <si>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</si>
  <si>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</si>
  <si>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</si>
  <si>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</si>
  <si>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</si>
  <si>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</si>
  <si>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</si>
  <si>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</si>
  <si>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</si>
  <si>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</si>
  <si>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</si>
  <si>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</si>
  <si>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</si>
  <si>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</si>
  <si>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</si>
  <si>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</si>
  <si>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</si>
  <si>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</si>
  <si>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</si>
  <si>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</si>
  <si>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</si>
  <si>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</si>
  <si>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</si>
  <si>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</si>
  <si>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</si>
  <si>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</si>
  <si>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</si>
  <si>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</si>
  <si>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</si>
  <si>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</si>
  <si>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</si>
  <si>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</si>
  <si>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</si>
  <si>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</si>
  <si>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</si>
  <si>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</si>
  <si>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SpectaclesID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</si>
  <si>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</si>
  <si>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</si>
  <si>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</si>
  <si>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</si>
  <si>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</si>
  <si>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</si>
  <si>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</si>
  <si>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</si>
  <si>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</si>
  <si>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</si>
  <si>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</si>
  <si>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</si>
  <si>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</si>
  <si>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</si>
  <si>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</si>
  <si>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</si>
  <si>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</si>
  <si>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</si>
  <si>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</si>
  <si>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</si>
  <si>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</si>
  <si>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</si>
  <si>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</si>
  <si>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</si>
  <si>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</si>
  <si>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</si>
  <si>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</si>
  <si>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</si>
  <si>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</si>
  <si>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</si>
  <si>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</si>
  <si>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</si>
  <si>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</si>
  <si>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</si>
  <si>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</si>
  <si>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</si>
  <si>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</si>
  <si>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</si>
  <si>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</si>
  <si>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</si>
  <si>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</si>
  <si>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</si>
  <si>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</si>
  <si>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</si>
  <si>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</si>
  <si>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</si>
  <si>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</si>
  <si>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</si>
  <si>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</si>
  <si>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</si>
  <si>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</si>
  <si>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</si>
  <si>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</si>
  <si>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</si>
  <si>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</si>
  <si>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</si>
  <si>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</si>
  <si>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</si>
  <si>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</si>
  <si>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</si>
  <si>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</si>
  <si>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indexSalarieID</t>
  </si>
  <si>
    <t>indexProfessionID</t>
  </si>
  <si>
    <t>indexRoleID</t>
  </si>
  <si>
    <t>indexSpectaclesID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</si>
</sst>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75634"/>
          <a:ext cx="1104900" cy="3577104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DistributionsArtistiques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DistributionsTechniques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Pieces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Roles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Salaries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D3" workbookViewId="0">
      <pane ySplit="9" topLeftCell="A12" activePane="bottomLeft" state="frozen"/>
      <selection activeCell="A3" sqref="A3"/>
      <selection pane="bottomLeft" activeCell="K11" sqref="K11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bestFit="1" customWidth="1"/>
    <col min="8" max="8" width="20.453125" bestFit="1" customWidth="1"/>
    <col min="9" max="9" width="19.1796875" customWidth="1"/>
    <col min="10" max="10" width="13.54296875" bestFit="1" customWidth="1"/>
    <col min="11" max="18" width="7.453125" customWidth="1"/>
    <col min="19" max="19" width="22.81640625" bestFit="1" customWidth="1"/>
    <col min="20" max="20" width="5.7265625" bestFit="1" customWidth="1"/>
    <col min="22" max="22" width="18.453125" bestFit="1" customWidth="1"/>
    <col min="23" max="23" width="19.8164062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>A12</f>
        <v>DistributionsArtistiques</v>
      </c>
      <c r="I12" s="7" t="str">
        <f>HLOOKUP(H12,$B$3:$Z$6,4,FALSE)</f>
        <v>Distribution artistique</v>
      </c>
      <c r="J12" s="1">
        <f>HLOOKUP(H12,$B$3:$Z$7,5,FALSE)</f>
        <v>1</v>
      </c>
      <c r="K12" s="1" t="s">
        <v>27</v>
      </c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ref="H13:H50" si="2">A13</f>
        <v>DistributionsArtistiques</v>
      </c>
      <c r="I13" s="7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27</v>
      </c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P16" s="4"/>
      <c r="Q16" s="4"/>
      <c r="U16" s="6"/>
      <c r="V16" s="8" t="s">
        <v>39</v>
      </c>
      <c r="W16" s="8" t="s">
        <v>40</v>
      </c>
    </row>
    <row r="17" spans="1:24" x14ac:dyDescent="0.35">
      <c r="A17" s="7" t="s">
        <v>24</v>
      </c>
      <c r="B17" s="7" t="s">
        <v>41</v>
      </c>
      <c r="C17" s="7" t="s">
        <v>41</v>
      </c>
      <c r="D17" s="7" t="s">
        <v>41</v>
      </c>
      <c r="E17" s="7" t="s">
        <v>41</v>
      </c>
      <c r="F17" s="7" t="s">
        <v>11</v>
      </c>
      <c r="G17" s="7" t="s">
        <v>42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P17" s="4"/>
      <c r="Q17" s="4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6" t="str" cm="1">
        <f t="array" ref="U17:U26">TRANSPOSE(_xlfn.UNIQUE(B11:K11))</f>
        <v>champs</v>
      </c>
      <c r="V17" t="s">
        <v>43</v>
      </c>
      <c r="W17" t="s">
        <v>16</v>
      </c>
      <c r="X17" t="str" cm="1">
        <f t="array" ref="X17:X24">_xlfn.UNIQUE(I12:I50)</f>
        <v>Distribution artistique</v>
      </c>
    </row>
    <row r="18" spans="1:24" x14ac:dyDescent="0.35">
      <c r="A18" s="7" t="s">
        <v>24</v>
      </c>
      <c r="B18" s="7" t="s">
        <v>44</v>
      </c>
      <c r="C18" s="7" t="s">
        <v>44</v>
      </c>
      <c r="D18" s="7"/>
      <c r="E18" s="7"/>
      <c r="F18" s="7"/>
      <c r="G18" s="7" t="s">
        <v>45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46</v>
      </c>
      <c r="W18" t="s">
        <v>19</v>
      </c>
      <c r="X18" t="str">
        <v>Distribution technique</v>
      </c>
    </row>
    <row r="19" spans="1:24" x14ac:dyDescent="0.35">
      <c r="A19" s="7" t="s">
        <v>47</v>
      </c>
      <c r="B19" s="7" t="s">
        <v>48</v>
      </c>
      <c r="C19" s="7"/>
      <c r="D19" s="7"/>
      <c r="E19" s="7"/>
      <c r="F19" s="7"/>
      <c r="G19" s="7" t="s">
        <v>49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P19" s="4"/>
      <c r="Q19" s="4"/>
      <c r="R19" s="1">
        <v>3</v>
      </c>
      <c r="S19" t="str">
        <v>Lieux</v>
      </c>
      <c r="U19" s="6" t="str">
        <v>recherche</v>
      </c>
      <c r="V19" t="s">
        <v>50</v>
      </c>
      <c r="W19" t="s">
        <v>14</v>
      </c>
      <c r="X19" t="str">
        <v>Lieux de représentation</v>
      </c>
    </row>
    <row r="20" spans="1:24" x14ac:dyDescent="0.35">
      <c r="A20" s="7" t="s">
        <v>47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51</v>
      </c>
      <c r="W20" t="s">
        <v>17</v>
      </c>
      <c r="X20" t="str">
        <v>Pièces</v>
      </c>
    </row>
    <row r="21" spans="1:24" x14ac:dyDescent="0.35">
      <c r="A21" s="7" t="s">
        <v>47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P21" s="4"/>
      <c r="Q21" s="4"/>
      <c r="R21" s="1">
        <v>5</v>
      </c>
      <c r="S21" t="str">
        <v>Professions</v>
      </c>
      <c r="U21" s="6" t="str">
        <v>tableID</v>
      </c>
      <c r="V21" t="s">
        <v>53</v>
      </c>
      <c r="X21" t="str">
        <v>Professions</v>
      </c>
    </row>
    <row r="22" spans="1:24" x14ac:dyDescent="0.35">
      <c r="A22" s="7" t="s">
        <v>47</v>
      </c>
      <c r="B22" s="7" t="s">
        <v>55</v>
      </c>
      <c r="C22" s="7" t="s">
        <v>55</v>
      </c>
      <c r="D22" s="7"/>
      <c r="E22" s="7"/>
      <c r="F22" s="7"/>
      <c r="G22" s="7" t="s">
        <v>56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57</v>
      </c>
      <c r="P22" s="4"/>
      <c r="Q22" s="4"/>
      <c r="R22" s="1">
        <v>6</v>
      </c>
      <c r="S22" t="str">
        <v>Roles</v>
      </c>
      <c r="U22" s="6" t="str">
        <v>display</v>
      </c>
      <c r="V22" t="s">
        <v>52</v>
      </c>
      <c r="X22" t="str">
        <v>Rôles</v>
      </c>
    </row>
    <row r="23" spans="1:24" x14ac:dyDescent="0.35">
      <c r="A23" s="7" t="s">
        <v>47</v>
      </c>
      <c r="B23" s="7" t="s">
        <v>59</v>
      </c>
      <c r="C23" s="7" t="s">
        <v>59</v>
      </c>
      <c r="D23" s="7"/>
      <c r="E23" s="7"/>
      <c r="F23" s="7"/>
      <c r="G23" s="7" t="s">
        <v>60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61</v>
      </c>
      <c r="P23" s="4"/>
      <c r="Q23" s="4"/>
      <c r="R23" s="1">
        <v>7</v>
      </c>
      <c r="S23" t="str">
        <v>Salaries</v>
      </c>
      <c r="U23" s="6" t="str">
        <v>tableBD</v>
      </c>
      <c r="V23" t="s">
        <v>58</v>
      </c>
      <c r="X23" t="str">
        <v>Salariés</v>
      </c>
    </row>
    <row r="24" spans="1:24" x14ac:dyDescent="0.35">
      <c r="A24" s="7" t="s">
        <v>47</v>
      </c>
      <c r="B24" s="7" t="s">
        <v>41</v>
      </c>
      <c r="C24" s="7" t="s">
        <v>41</v>
      </c>
      <c r="D24" s="7" t="s">
        <v>41</v>
      </c>
      <c r="E24" s="7" t="s">
        <v>41</v>
      </c>
      <c r="F24" s="7" t="s">
        <v>11</v>
      </c>
      <c r="G24" s="7" t="s">
        <v>42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P24" s="4"/>
      <c r="Q24" s="4"/>
      <c r="R24" s="1">
        <v>8</v>
      </c>
      <c r="S24" t="str">
        <v>Spectacles</v>
      </c>
      <c r="U24" s="6" t="str">
        <v>tableDisplay</v>
      </c>
      <c r="V24" t="s">
        <v>62</v>
      </c>
      <c r="X24" t="str">
        <v>Spectacles</v>
      </c>
    </row>
    <row r="25" spans="1:24" x14ac:dyDescent="0.35">
      <c r="A25" s="7" t="s">
        <v>63</v>
      </c>
      <c r="B25" s="7" t="s">
        <v>64</v>
      </c>
      <c r="C25" s="7"/>
      <c r="D25" s="7"/>
      <c r="E25" s="7"/>
      <c r="F25" s="7"/>
      <c r="G25" s="7" t="s">
        <v>65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P25" s="4"/>
      <c r="Q25" s="4"/>
      <c r="U25" s="6" t="str">
        <v>feuille</v>
      </c>
      <c r="V25" t="s">
        <v>66</v>
      </c>
    </row>
    <row r="26" spans="1:24" x14ac:dyDescent="0.35">
      <c r="A26" s="7" t="s">
        <v>63</v>
      </c>
      <c r="B26" s="7" t="s">
        <v>67</v>
      </c>
      <c r="C26" s="7" t="s">
        <v>67</v>
      </c>
      <c r="D26" s="7" t="s">
        <v>67</v>
      </c>
      <c r="E26" s="7"/>
      <c r="F26" s="7"/>
      <c r="G26" s="7" t="s">
        <v>68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69</v>
      </c>
      <c r="P26" s="4"/>
      <c r="Q26" s="4"/>
      <c r="U26" s="6" t="str">
        <v>regX</v>
      </c>
      <c r="V26" t="s">
        <v>54</v>
      </c>
    </row>
    <row r="27" spans="1:24" x14ac:dyDescent="0.35">
      <c r="A27" s="7" t="s">
        <v>63</v>
      </c>
      <c r="B27" s="7" t="s">
        <v>70</v>
      </c>
      <c r="C27" s="7" t="s">
        <v>70</v>
      </c>
      <c r="D27" s="7"/>
      <c r="E27" s="7"/>
      <c r="F27" s="7"/>
      <c r="G27" s="7" t="s">
        <v>70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69</v>
      </c>
      <c r="P27" s="4"/>
      <c r="Q27" s="4"/>
    </row>
    <row r="28" spans="1:24" x14ac:dyDescent="0.35">
      <c r="A28" s="7" t="s">
        <v>63</v>
      </c>
      <c r="B28" s="7" t="s">
        <v>71</v>
      </c>
      <c r="C28" s="7" t="s">
        <v>71</v>
      </c>
      <c r="D28" s="7"/>
      <c r="E28" s="7"/>
      <c r="F28" s="7"/>
      <c r="G28" s="7" t="s">
        <v>71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69</v>
      </c>
      <c r="P28" s="4"/>
      <c r="Q28" s="4"/>
    </row>
    <row r="29" spans="1:24" x14ac:dyDescent="0.35">
      <c r="A29" s="7" t="s">
        <v>63</v>
      </c>
      <c r="B29" s="7" t="s">
        <v>72</v>
      </c>
      <c r="C29" s="7" t="s">
        <v>72</v>
      </c>
      <c r="D29" s="7"/>
      <c r="E29" s="7"/>
      <c r="F29" s="7"/>
      <c r="G29" s="7" t="s">
        <v>72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69</v>
      </c>
    </row>
    <row r="30" spans="1:24" x14ac:dyDescent="0.35">
      <c r="A30" s="7" t="s">
        <v>73</v>
      </c>
      <c r="B30" s="7" t="s">
        <v>74</v>
      </c>
      <c r="C30" s="7" t="s">
        <v>74</v>
      </c>
      <c r="D30" s="7"/>
      <c r="E30" s="7"/>
      <c r="F30" s="7" t="s">
        <v>73</v>
      </c>
      <c r="G30" s="7" t="s">
        <v>75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</row>
    <row r="31" spans="1:24" x14ac:dyDescent="0.35">
      <c r="A31" s="7" t="s">
        <v>73</v>
      </c>
      <c r="B31" s="7" t="s">
        <v>76</v>
      </c>
      <c r="C31" s="7" t="s">
        <v>76</v>
      </c>
      <c r="D31" s="7" t="s">
        <v>76</v>
      </c>
      <c r="E31" s="7"/>
      <c r="F31" s="7"/>
      <c r="G31" s="7" t="s">
        <v>77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69</v>
      </c>
    </row>
    <row r="32" spans="1:24" x14ac:dyDescent="0.35">
      <c r="A32" s="7" t="s">
        <v>73</v>
      </c>
      <c r="B32" s="7" t="s">
        <v>78</v>
      </c>
      <c r="C32" s="7" t="s">
        <v>78</v>
      </c>
      <c r="D32" s="7"/>
      <c r="E32" s="7"/>
      <c r="F32" s="7"/>
      <c r="G32" s="7" t="s">
        <v>79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69</v>
      </c>
    </row>
    <row r="33" spans="1:11" x14ac:dyDescent="0.35">
      <c r="A33" s="7" t="s">
        <v>73</v>
      </c>
      <c r="B33" s="7" t="s">
        <v>80</v>
      </c>
      <c r="C33" s="7" t="s">
        <v>80</v>
      </c>
      <c r="D33" s="7" t="s">
        <v>80</v>
      </c>
      <c r="E33" s="7"/>
      <c r="F33" s="7"/>
      <c r="G33" s="7" t="s">
        <v>80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69</v>
      </c>
    </row>
    <row r="34" spans="1:11" x14ac:dyDescent="0.35">
      <c r="A34" s="7" t="s">
        <v>73</v>
      </c>
      <c r="B34" s="7" t="s">
        <v>81</v>
      </c>
      <c r="C34" s="7" t="s">
        <v>81</v>
      </c>
      <c r="D34" s="7"/>
      <c r="E34" s="7"/>
      <c r="F34" s="7"/>
      <c r="G34" s="7" t="s">
        <v>81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69</v>
      </c>
    </row>
    <row r="35" spans="1:11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82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</row>
    <row r="36" spans="1:11" x14ac:dyDescent="0.35">
      <c r="A36" s="7" t="s">
        <v>8</v>
      </c>
      <c r="B36" s="7" t="s">
        <v>83</v>
      </c>
      <c r="C36" s="7" t="s">
        <v>83</v>
      </c>
      <c r="D36" s="7" t="s">
        <v>83</v>
      </c>
      <c r="E36" s="7"/>
      <c r="F36" s="7"/>
      <c r="G36" s="7" t="s">
        <v>84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69</v>
      </c>
    </row>
    <row r="37" spans="1:11" x14ac:dyDescent="0.35">
      <c r="A37" s="7" t="s">
        <v>8</v>
      </c>
      <c r="B37" s="7" t="s">
        <v>85</v>
      </c>
      <c r="C37" s="7" t="s">
        <v>85</v>
      </c>
      <c r="D37" s="7"/>
      <c r="E37" s="7"/>
      <c r="F37" s="7"/>
      <c r="G37" s="7" t="s">
        <v>85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86</v>
      </c>
    </row>
    <row r="38" spans="1:11" x14ac:dyDescent="0.35">
      <c r="A38" s="7" t="s">
        <v>8</v>
      </c>
      <c r="B38" s="7" t="s">
        <v>87</v>
      </c>
      <c r="C38" s="7" t="s">
        <v>87</v>
      </c>
      <c r="D38" s="7"/>
      <c r="E38" s="7"/>
      <c r="F38" s="7"/>
      <c r="G38" s="7" t="s">
        <v>87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86</v>
      </c>
    </row>
    <row r="39" spans="1:11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88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</row>
    <row r="40" spans="1:11" x14ac:dyDescent="0.35">
      <c r="A40" s="7" t="s">
        <v>34</v>
      </c>
      <c r="B40" s="7" t="s">
        <v>89</v>
      </c>
      <c r="C40" s="7" t="s">
        <v>89</v>
      </c>
      <c r="D40" s="7" t="s">
        <v>89</v>
      </c>
      <c r="E40" s="7"/>
      <c r="F40" s="7"/>
      <c r="G40" s="7" t="s">
        <v>90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69</v>
      </c>
    </row>
    <row r="41" spans="1:11" x14ac:dyDescent="0.35">
      <c r="A41" s="7" t="s">
        <v>34</v>
      </c>
      <c r="B41" s="7" t="s">
        <v>74</v>
      </c>
      <c r="C41" s="7" t="s">
        <v>74</v>
      </c>
      <c r="D41" s="7" t="s">
        <v>74</v>
      </c>
      <c r="E41" s="7" t="s">
        <v>74</v>
      </c>
      <c r="F41" s="7" t="s">
        <v>73</v>
      </c>
      <c r="G41" s="7" t="s">
        <v>91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</row>
    <row r="42" spans="1:11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92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</row>
    <row r="43" spans="1:11" x14ac:dyDescent="0.35">
      <c r="A43" s="7" t="s">
        <v>29</v>
      </c>
      <c r="B43" s="7" t="s">
        <v>93</v>
      </c>
      <c r="C43" s="7" t="s">
        <v>93</v>
      </c>
      <c r="D43" s="7"/>
      <c r="E43" s="7"/>
      <c r="F43" s="7"/>
      <c r="G43" s="7" t="s">
        <v>93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69</v>
      </c>
    </row>
    <row r="44" spans="1:11" x14ac:dyDescent="0.35">
      <c r="A44" s="7" t="s">
        <v>29</v>
      </c>
      <c r="B44" s="7" t="s">
        <v>67</v>
      </c>
      <c r="C44" s="7" t="s">
        <v>67</v>
      </c>
      <c r="D44" s="7" t="s">
        <v>67</v>
      </c>
      <c r="E44" s="7"/>
      <c r="F44" s="7"/>
      <c r="G44" s="7" t="s">
        <v>67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69</v>
      </c>
    </row>
    <row r="45" spans="1:11" x14ac:dyDescent="0.35">
      <c r="A45" s="7" t="s">
        <v>29</v>
      </c>
      <c r="B45" s="7" t="s">
        <v>94</v>
      </c>
      <c r="C45" s="7" t="s">
        <v>94</v>
      </c>
      <c r="D45" s="7" t="s">
        <v>94</v>
      </c>
      <c r="E45" s="7"/>
      <c r="F45" s="7"/>
      <c r="G45" s="7" t="s">
        <v>94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69</v>
      </c>
    </row>
    <row r="46" spans="1:11" x14ac:dyDescent="0.35">
      <c r="A46" s="7" t="s">
        <v>29</v>
      </c>
      <c r="B46" s="7" t="s">
        <v>95</v>
      </c>
      <c r="C46" s="7" t="s">
        <v>95</v>
      </c>
      <c r="D46" s="7"/>
      <c r="E46" s="7"/>
      <c r="F46" s="7"/>
      <c r="G46" s="7" t="s">
        <v>95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96</v>
      </c>
    </row>
    <row r="47" spans="1:11" x14ac:dyDescent="0.35">
      <c r="A47" s="7" t="s">
        <v>11</v>
      </c>
      <c r="B47" s="7" t="s">
        <v>97</v>
      </c>
      <c r="C47" s="7"/>
      <c r="D47" s="7"/>
      <c r="E47" s="7"/>
      <c r="F47" s="7"/>
      <c r="G47" s="7" t="s">
        <v>98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</row>
    <row r="48" spans="1:11" x14ac:dyDescent="0.35">
      <c r="A48" s="7" t="s">
        <v>11</v>
      </c>
      <c r="B48" s="7" t="s">
        <v>99</v>
      </c>
      <c r="C48" s="7" t="s">
        <v>99</v>
      </c>
      <c r="D48" s="7"/>
      <c r="E48" s="7"/>
      <c r="F48" s="7"/>
      <c r="G48" s="7" t="s">
        <v>100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69</v>
      </c>
    </row>
    <row r="49" spans="1:11" x14ac:dyDescent="0.35">
      <c r="A49" s="7" t="s">
        <v>11</v>
      </c>
      <c r="B49" s="7" t="s">
        <v>101</v>
      </c>
      <c r="C49" s="7" t="s">
        <v>101</v>
      </c>
      <c r="D49" s="7" t="s">
        <v>101</v>
      </c>
      <c r="E49" s="7"/>
      <c r="F49" s="7"/>
      <c r="G49" s="7" t="s">
        <v>102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69</v>
      </c>
    </row>
    <row r="50" spans="1:11" x14ac:dyDescent="0.35">
      <c r="A50" s="7" t="s">
        <v>11</v>
      </c>
      <c r="B50" s="7" t="s">
        <v>74</v>
      </c>
      <c r="C50" s="7" t="s">
        <v>74</v>
      </c>
      <c r="D50" s="7"/>
      <c r="E50" s="7" t="s">
        <v>74</v>
      </c>
      <c r="F50" s="7" t="s">
        <v>73</v>
      </c>
      <c r="G50" s="7" t="s">
        <v>91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W7"/>
  <sheetViews>
    <sheetView tabSelected="1" zoomScale="85" zoomScaleNormal="85" workbookViewId="0">
      <selection activeCell="E10" sqref="E10"/>
    </sheetView>
  </sheetViews>
  <sheetFormatPr baseColWidth="10" defaultRowHeight="14.5" x14ac:dyDescent="0.35"/>
  <cols>
    <col min="4" max="4" width="15.1796875" customWidth="1"/>
    <col min="16" max="16" width="12.7265625" bestFit="1" customWidth="1"/>
    <col min="17" max="17" width="8.36328125" bestFit="1" customWidth="1"/>
    <col min="18" max="18" width="15.7265625" bestFit="1" customWidth="1"/>
    <col min="19" max="19" width="11.36328125" bestFit="1" customWidth="1"/>
    <col min="21" max="21" width="6.54296875" bestFit="1" customWidth="1"/>
    <col min="22" max="22" width="16.08984375" bestFit="1" customWidth="1"/>
    <col min="23" max="23" width="11.7265625" bestFit="1" customWidth="1"/>
  </cols>
  <sheetData>
    <row r="2" spans="4:23" x14ac:dyDescent="0.35">
      <c r="D2" t="s">
        <v>28</v>
      </c>
      <c r="E2" t="s">
        <v>41</v>
      </c>
      <c r="P2" t="s">
        <v>103</v>
      </c>
      <c r="Q2" t="s">
        <v>28</v>
      </c>
      <c r="R2" t="s">
        <v>104</v>
      </c>
      <c r="S2" t="s">
        <v>31</v>
      </c>
      <c r="T2" t="s">
        <v>105</v>
      </c>
      <c r="U2" t="s">
        <v>33</v>
      </c>
      <c r="V2" t="s">
        <v>106</v>
      </c>
      <c r="W2" t="s">
        <v>41</v>
      </c>
    </row>
    <row r="5" spans="4:23" x14ac:dyDescent="0.35">
      <c r="D5" t="s">
        <v>26</v>
      </c>
      <c r="E5" t="s">
        <v>30</v>
      </c>
      <c r="F5" t="s">
        <v>32</v>
      </c>
      <c r="G5" t="s">
        <v>35</v>
      </c>
      <c r="H5" t="s">
        <v>37</v>
      </c>
      <c r="I5" t="s">
        <v>42</v>
      </c>
      <c r="J5" t="s">
        <v>45</v>
      </c>
    </row>
    <row r="7" spans="4:23" x14ac:dyDescent="0.35">
      <c r="D7" t="s">
        <v>25</v>
      </c>
      <c r="E7" t="s">
        <v>28</v>
      </c>
      <c r="F7" t="s">
        <v>31</v>
      </c>
      <c r="G7" t="s">
        <v>33</v>
      </c>
      <c r="H7" t="s">
        <v>36</v>
      </c>
      <c r="I7" t="s">
        <v>41</v>
      </c>
      <c r="J7" t="s">
        <v>44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G3"/>
  <sheetViews>
    <sheetView workbookViewId="0">
      <selection activeCell="A2" sqref="A2"/>
    </sheetView>
  </sheetViews>
  <sheetFormatPr baseColWidth="10" defaultRowHeight="14.5" x14ac:dyDescent="0.35"/>
  <sheetData>
    <row r="1" spans="1:7" x14ac:dyDescent="0.35">
      <c r="A1" t="s">
        <v>88</v>
      </c>
      <c r="B1" t="s">
        <v>90</v>
      </c>
      <c r="C1" t="s">
        <v>91</v>
      </c>
    </row>
    <row r="2" spans="1:7" x14ac:dyDescent="0.35">
      <c r="A2">
        <v>1</v>
      </c>
      <c r="B2">
        <v>1</v>
      </c>
      <c r="C2">
        <v>1</v>
      </c>
      <c r="D2">
        <v>2</v>
      </c>
      <c r="E2">
        <v>120</v>
      </c>
      <c r="F2">
        <v>1</v>
      </c>
      <c r="G2">
        <v>1</v>
      </c>
    </row>
    <row r="3" spans="1:7" x14ac:dyDescent="0.35">
      <c r="A3">
        <v>2</v>
      </c>
      <c r="B3">
        <v>2</v>
      </c>
      <c r="C3">
        <v>2</v>
      </c>
      <c r="D3">
        <v>4</v>
      </c>
      <c r="E3">
        <v>150</v>
      </c>
      <c r="F3">
        <v>3</v>
      </c>
      <c r="G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2023-12-27T09:43:01Z</dcterms:modified>
</cp:coreProperties>
</file>