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icolas\Desktop\excel BD\from git\projets-vba\"/>
    </mc:Choice>
  </mc:AlternateContent>
  <xr:revisionPtr revIDLastSave="0" documentId="13_ncr:1_{7ED7BF8C-2D62-4478-89A4-ED97847660B7}" xr6:coauthVersionLast="47" xr6:coauthVersionMax="47" xr10:uidLastSave="{00000000-0000-0000-0000-000000000000}"/>
  <bookViews>
    <workbookView xWindow="-110" yWindow="-110" windowWidth="19420" windowHeight="10420" activeTab="1" xr2:uid="{34D3AF24-F68E-4D37-8163-A77139602F3F}"/>
  </bookViews>
  <sheets>
    <sheet name="dashboard" sheetId="3" r:id="rId1"/>
    <sheet name="nav" sheetId="1" r:id="rId2"/>
    <sheet name="BD" sheetId="2" r:id="rId3"/>
  </sheets>
  <functionGroups builtInGroupCount="19"/>
  <definedNames>
    <definedName name="champs">nav!$D$8</definedName>
    <definedName name="display">nav!$D$6</definedName>
    <definedName name="liaisonID">nav!$P$3</definedName>
    <definedName name="recherche">nav!$D$3</definedName>
    <definedName name="startBD">dashboard!$A$11</definedName>
    <definedName name="startHideBD">BD!$A$2</definedName>
    <definedName name="startMatriceBD">dashboard!$B$4</definedName>
    <definedName name="StartNomFeuille">dashboard!$B$7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17" i="3" l="1" a="1"/>
  <c r="U17" i="3" s="1"/>
  <c r="H50" i="3"/>
  <c r="H49" i="3"/>
  <c r="H48" i="3"/>
  <c r="H47" i="3"/>
  <c r="H46" i="3"/>
  <c r="H45" i="3"/>
  <c r="H44" i="3"/>
  <c r="H43" i="3"/>
  <c r="H42" i="3"/>
  <c r="H41" i="3"/>
  <c r="H40" i="3"/>
  <c r="H39" i="3"/>
  <c r="H38" i="3"/>
  <c r="H37" i="3"/>
  <c r="H36" i="3"/>
  <c r="H35" i="3"/>
  <c r="H34" i="3"/>
  <c r="H33" i="3"/>
  <c r="H32" i="3"/>
  <c r="H31" i="3"/>
  <c r="H30" i="3"/>
  <c r="H29" i="3"/>
  <c r="H28" i="3"/>
  <c r="H27" i="3"/>
  <c r="H26" i="3"/>
  <c r="H25" i="3"/>
  <c r="H24" i="3"/>
  <c r="H23" i="3"/>
  <c r="H22" i="3"/>
  <c r="H21" i="3"/>
  <c r="H20" i="3"/>
  <c r="H19" i="3"/>
  <c r="H18" i="3"/>
  <c r="H17" i="3"/>
  <c r="H16" i="3"/>
  <c r="H15" i="3"/>
  <c r="H14" i="3"/>
  <c r="H13" i="3"/>
  <c r="H12" i="3"/>
  <c r="S17" i="3" s="1" a="1"/>
  <c r="S17" i="3" s="1"/>
  <c r="B3" i="3" a="1"/>
  <c r="I4" i="3" s="1"/>
  <c r="H5" i="3" s="1"/>
  <c r="J40" i="3" l="1"/>
  <c r="F4" i="3"/>
  <c r="E5" i="3" s="1"/>
  <c r="I21" i="3"/>
  <c r="I37" i="3"/>
  <c r="G4" i="3"/>
  <c r="F5" i="3" s="1"/>
  <c r="J21" i="3"/>
  <c r="I31" i="3"/>
  <c r="J37" i="3"/>
  <c r="I47" i="3"/>
  <c r="J17" i="3"/>
  <c r="I27" i="3"/>
  <c r="J38" i="3"/>
  <c r="J49" i="3"/>
  <c r="C4" i="3"/>
  <c r="B5" i="3" s="1"/>
  <c r="J18" i="3"/>
  <c r="J34" i="3"/>
  <c r="I39" i="3"/>
  <c r="J50" i="3"/>
  <c r="I23" i="3"/>
  <c r="I14" i="3"/>
  <c r="I18" i="3"/>
  <c r="J27" i="3"/>
  <c r="I30" i="3"/>
  <c r="I34" i="3"/>
  <c r="I38" i="3"/>
  <c r="I42" i="3"/>
  <c r="J43" i="3"/>
  <c r="I50" i="3"/>
  <c r="D4" i="3"/>
  <c r="C5" i="3" s="1"/>
  <c r="H4" i="3"/>
  <c r="G5" i="3" s="1"/>
  <c r="B3" i="3"/>
  <c r="I20" i="3" s="1"/>
  <c r="E4" i="3"/>
  <c r="D5" i="3" s="1"/>
  <c r="I46" i="3" l="1"/>
  <c r="J35" i="3"/>
  <c r="I26" i="3"/>
  <c r="I15" i="3"/>
  <c r="I25" i="3"/>
  <c r="I43" i="3"/>
  <c r="J22" i="3"/>
  <c r="J42" i="3"/>
  <c r="I24" i="3"/>
  <c r="J46" i="3"/>
  <c r="J19" i="3"/>
  <c r="J28" i="3"/>
  <c r="J24" i="3"/>
  <c r="J33" i="3"/>
  <c r="I49" i="3"/>
  <c r="I33" i="3"/>
  <c r="I17" i="3"/>
  <c r="J30" i="3"/>
  <c r="J44" i="3"/>
  <c r="I48" i="3"/>
  <c r="J45" i="3"/>
  <c r="J36" i="3"/>
  <c r="I32" i="3"/>
  <c r="J29" i="3"/>
  <c r="J20" i="3"/>
  <c r="I16" i="3"/>
  <c r="J13" i="3"/>
  <c r="I12" i="3"/>
  <c r="J48" i="3"/>
  <c r="I44" i="3"/>
  <c r="J41" i="3"/>
  <c r="J32" i="3"/>
  <c r="I28" i="3"/>
  <c r="J25" i="3"/>
  <c r="J16" i="3"/>
  <c r="J47" i="3"/>
  <c r="J39" i="3"/>
  <c r="J31" i="3"/>
  <c r="I22" i="3"/>
  <c r="I19" i="3"/>
  <c r="I41" i="3"/>
  <c r="J23" i="3"/>
  <c r="I45" i="3"/>
  <c r="I29" i="3"/>
  <c r="I13" i="3"/>
  <c r="I40" i="3"/>
  <c r="J26" i="3"/>
  <c r="J15" i="3"/>
  <c r="I35" i="3"/>
  <c r="J14" i="3"/>
  <c r="I36" i="3"/>
  <c r="J12" i="3"/>
  <c r="B4" i="3"/>
  <c r="J4" i="3" s="1" a="1"/>
  <c r="J4" i="3" s="1"/>
  <c r="I5" i="3" s="1"/>
  <c r="X17" i="3" l="1" a="1"/>
  <c r="X17" i="3" s="1"/>
  <c r="R17" i="3" a="1"/>
  <c r="R17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<sst xmlns="http://schemas.openxmlformats.org/spreadsheetml/2006/main" count="310" uniqueCount="119">
  <si>
    <t>nom table BD</t>
  </si>
  <si>
    <t>dernière ligne</t>
  </si>
  <si>
    <t>1ère ligne</t>
  </si>
  <si>
    <t>nom table dysplay</t>
  </si>
  <si>
    <t>Distribution artistique</t>
  </si>
  <si>
    <t>Distribution technique</t>
  </si>
  <si>
    <t>Lieux de représentation</t>
  </si>
  <si>
    <t>Pièces</t>
  </si>
  <si>
    <t>Professions</t>
  </si>
  <si>
    <t>Rôles</t>
  </si>
  <si>
    <t>Salariés</t>
  </si>
  <si>
    <t>Spectacles</t>
  </si>
  <si>
    <t>nom de feuille</t>
  </si>
  <si>
    <t>table</t>
  </si>
  <si>
    <t>champs</t>
  </si>
  <si>
    <t>visibles</t>
  </si>
  <si>
    <t>recherche</t>
  </si>
  <si>
    <t>liaisonID</t>
  </si>
  <si>
    <t>tableID</t>
  </si>
  <si>
    <t>display</t>
  </si>
  <si>
    <t>tableBD</t>
  </si>
  <si>
    <t>tableDisplay</t>
  </si>
  <si>
    <t>feuille</t>
  </si>
  <si>
    <t>regX</t>
  </si>
  <si>
    <t>DistributionsArtistiques</t>
  </si>
  <si>
    <t>DistributionArtID</t>
  </si>
  <si>
    <t>distribution artistique - ID</t>
  </si>
  <si>
    <t>liste</t>
  </si>
  <si>
    <t>SalarieID</t>
  </si>
  <si>
    <t>Salaries</t>
  </si>
  <si>
    <t>salarié</t>
  </si>
  <si>
    <t>ProfessionID</t>
  </si>
  <si>
    <t>profession</t>
  </si>
  <si>
    <t>RoleID</t>
  </si>
  <si>
    <t>Roles</t>
  </si>
  <si>
    <t>rôle</t>
  </si>
  <si>
    <t>Cachet</t>
  </si>
  <si>
    <t>cachet</t>
  </si>
  <si>
    <t>num</t>
  </si>
  <si>
    <t>allAdress</t>
  </si>
  <si>
    <t>allAdressToShow</t>
  </si>
  <si>
    <t>spectacle</t>
  </si>
  <si>
    <t>startAddNewRecord</t>
  </si>
  <si>
    <t>Ordre</t>
  </si>
  <si>
    <t>ordre</t>
  </si>
  <si>
    <t>startTableVisible</t>
  </si>
  <si>
    <t>DistributionsTechniques</t>
  </si>
  <si>
    <t>DistributionTechID</t>
  </si>
  <si>
    <t>distribution technique - ID</t>
  </si>
  <si>
    <t>startShowOnRecord</t>
  </si>
  <si>
    <t>startFieldToSearch</t>
  </si>
  <si>
    <t>startTableInvisible</t>
  </si>
  <si>
    <t>adresseNameTable</t>
  </si>
  <si>
    <t>startHideBD</t>
  </si>
  <si>
    <t>NbHre</t>
  </si>
  <si>
    <t>nombre d'heures</t>
  </si>
  <si>
    <t>heure</t>
  </si>
  <si>
    <t>startDeleteOnRecord</t>
  </si>
  <si>
    <t>TauxHoraire</t>
  </si>
  <si>
    <t>taux horaire</t>
  </si>
  <si>
    <t>decimal</t>
  </si>
  <si>
    <t>startMatriceBD</t>
  </si>
  <si>
    <t>Lieux</t>
  </si>
  <si>
    <t>LieuID</t>
  </si>
  <si>
    <t>lieu - ID</t>
  </si>
  <si>
    <t>StartNomFeuille</t>
  </si>
  <si>
    <t>Nom</t>
  </si>
  <si>
    <t>nom du lieu</t>
  </si>
  <si>
    <t>text</t>
  </si>
  <si>
    <t>adresse</t>
  </si>
  <si>
    <t>CP</t>
  </si>
  <si>
    <t>Ville</t>
  </si>
  <si>
    <t>Pieces</t>
  </si>
  <si>
    <t>PieceID</t>
  </si>
  <si>
    <t>pièce - ID</t>
  </si>
  <si>
    <t>Titre</t>
  </si>
  <si>
    <t>titre</t>
  </si>
  <si>
    <t>MetteurEnScene</t>
  </si>
  <si>
    <t>metteur en scène</t>
  </si>
  <si>
    <t>Auteur</t>
  </si>
  <si>
    <t>resumer</t>
  </si>
  <si>
    <t>profession - ID</t>
  </si>
  <si>
    <t>Intitule</t>
  </si>
  <si>
    <t>intitulé</t>
  </si>
  <si>
    <t>Cadre</t>
  </si>
  <si>
    <t>bool</t>
  </si>
  <si>
    <t>artiste</t>
  </si>
  <si>
    <t>rôle - ID</t>
  </si>
  <si>
    <t>NomRole</t>
  </si>
  <si>
    <t>nom du rôle</t>
  </si>
  <si>
    <t>pièce</t>
  </si>
  <si>
    <t>salarié - ID</t>
  </si>
  <si>
    <t>Matricule</t>
  </si>
  <si>
    <t>Prenom</t>
  </si>
  <si>
    <t>Email</t>
  </si>
  <si>
    <t>email</t>
  </si>
  <si>
    <t>SpectacleID</t>
  </si>
  <si>
    <t>spectacle - ID</t>
  </si>
  <si>
    <t>TitreLong</t>
  </si>
  <si>
    <t>titre long</t>
  </si>
  <si>
    <t>TitreCourt</t>
  </si>
  <si>
    <t>titre court</t>
  </si>
  <si>
    <t>liaisonIdDisplay</t>
  </si>
  <si>
    <t>AladinLF</t>
  </si>
  <si>
    <t>PinocchioLF</t>
  </si>
  <si>
    <t>PinocchioT</t>
  </si>
  <si>
    <t>Comédien</t>
  </si>
  <si>
    <t>Artiste Chanteur</t>
  </si>
  <si>
    <t>Régisseur Lumière</t>
  </si>
  <si>
    <t>Créateur lumières</t>
  </si>
  <si>
    <t>Jafar</t>
  </si>
  <si>
    <t>Jasmine</t>
  </si>
  <si>
    <t>Figaro</t>
  </si>
  <si>
    <t>Jiminy Cricket</t>
  </si>
  <si>
    <t>KRIEFF</t>
  </si>
  <si>
    <t>PALISSE</t>
  </si>
  <si>
    <t>GAUZERAN</t>
  </si>
  <si>
    <t>toto</t>
  </si>
  <si>
    <t>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</si>
</sst>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u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49" fontId="0" fillId="0" borderId="0" xfId="0" applyNumberFormat="1"/>
    <xf numFmtId="0" fontId="2" fillId="0" borderId="1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504825</xdr:colOff>
      <xdr:row>4</xdr:row>
      <xdr:rowOff>28575</xdr:rowOff>
    </xdr:from>
    <xdr:to>
      <xdr:col>2</xdr:col>
      <xdr:colOff>85725</xdr:colOff>
      <xdr:row>23</xdr:row>
      <xdr:rowOff>57150</xdr:rowOff>
    </xdr:to>
    <xdr:grpSp>
      <xdr:nvGrpSpPr>
        <xdr:cNvPr id="18" name="boutons">
          <a:extLst>
            <a:ext uri="{FF2B5EF4-FFF2-40B4-BE49-F238E27FC236}">
              <a16:creationId xmlns:a16="http://schemas.microsoft.com/office/drawing/2014/main" id="{80B5A3DC-EAFA-78D1-ABB1-6EB4699297F5}"/>
            </a:ext>
          </a:extLst>
        </xdr:cNvPr>
        <xdr:cNvGrpSpPr/>
      </xdr:nvGrpSpPr>
      <xdr:grpSpPr>
        <a:xfrm>
          <a:off x="504825" y="775634"/>
          <a:ext cx="1104900" cy="3577104"/>
          <a:chOff x="504825" y="790575"/>
          <a:chExt cx="1104900" cy="3648075"/>
        </a:xfrm>
      </xdr:grpSpPr>
      <xdr:sp macro="[0]!shapeNav" textlink="">
        <xdr:nvSpPr>
          <xdr:cNvPr id="3" name="titi1">
            <a:extLst>
              <a:ext uri="{FF2B5EF4-FFF2-40B4-BE49-F238E27FC236}">
                <a16:creationId xmlns:a16="http://schemas.microsoft.com/office/drawing/2014/main" id="{020442AA-AA43-8FB5-4873-37C0C41716C2}"/>
              </a:ext>
            </a:extLst>
          </xdr:cNvPr>
          <xdr:cNvSpPr/>
        </xdr:nvSpPr>
        <xdr:spPr>
          <a:xfrm>
            <a:off x="504825" y="790575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Distribution artistique</a:t>
            </a:r>
          </a:p>
        </xdr:txBody>
      </xdr:sp>
      <xdr:sp macro="[0]!shapeNav" textlink="">
        <xdr:nvSpPr>
          <xdr:cNvPr id="4" name="titi2">
            <a:extLst>
              <a:ext uri="{FF2B5EF4-FFF2-40B4-BE49-F238E27FC236}">
                <a16:creationId xmlns:a16="http://schemas.microsoft.com/office/drawing/2014/main" id="{082691DF-1F5D-1B85-DFC0-BE1105420868}"/>
              </a:ext>
            </a:extLst>
          </xdr:cNvPr>
          <xdr:cNvSpPr/>
        </xdr:nvSpPr>
        <xdr:spPr>
          <a:xfrm>
            <a:off x="504825" y="1249136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Distribution technique</a:t>
            </a:r>
          </a:p>
        </xdr:txBody>
      </xdr:sp>
      <xdr:sp macro="[0]!shapeNav" textlink="">
        <xdr:nvSpPr>
          <xdr:cNvPr id="5" name="titi3">
            <a:extLst>
              <a:ext uri="{FF2B5EF4-FFF2-40B4-BE49-F238E27FC236}">
                <a16:creationId xmlns:a16="http://schemas.microsoft.com/office/drawing/2014/main" id="{51D1B83B-B525-3AC8-4E6B-68BF21C8FDC6}"/>
              </a:ext>
            </a:extLst>
          </xdr:cNvPr>
          <xdr:cNvSpPr/>
        </xdr:nvSpPr>
        <xdr:spPr>
          <a:xfrm>
            <a:off x="504825" y="1707697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Lieux de représentation</a:t>
            </a:r>
          </a:p>
        </xdr:txBody>
      </xdr:sp>
      <xdr:sp macro="[0]!shapeNav" textlink="">
        <xdr:nvSpPr>
          <xdr:cNvPr id="6" name="titi4">
            <a:extLst>
              <a:ext uri="{FF2B5EF4-FFF2-40B4-BE49-F238E27FC236}">
                <a16:creationId xmlns:a16="http://schemas.microsoft.com/office/drawing/2014/main" id="{F06D5FA9-E689-06D6-ED13-AEFC6AB33BFF}"/>
              </a:ext>
            </a:extLst>
          </xdr:cNvPr>
          <xdr:cNvSpPr/>
        </xdr:nvSpPr>
        <xdr:spPr>
          <a:xfrm>
            <a:off x="504825" y="2166258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Pièces</a:t>
            </a:r>
          </a:p>
        </xdr:txBody>
      </xdr:sp>
      <xdr:sp macro="[0]!shapeNav" textlink="">
        <xdr:nvSpPr>
          <xdr:cNvPr id="7" name="titi5">
            <a:extLst>
              <a:ext uri="{FF2B5EF4-FFF2-40B4-BE49-F238E27FC236}">
                <a16:creationId xmlns:a16="http://schemas.microsoft.com/office/drawing/2014/main" id="{F7D28326-79F9-9447-15D8-FA8F5C460B55}"/>
              </a:ext>
            </a:extLst>
          </xdr:cNvPr>
          <xdr:cNvSpPr/>
        </xdr:nvSpPr>
        <xdr:spPr>
          <a:xfrm>
            <a:off x="504825" y="2624819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Professions</a:t>
            </a:r>
          </a:p>
        </xdr:txBody>
      </xdr:sp>
      <xdr:sp macro="[0]!shapeNav" textlink="">
        <xdr:nvSpPr>
          <xdr:cNvPr id="8" name="titi6">
            <a:extLst>
              <a:ext uri="{FF2B5EF4-FFF2-40B4-BE49-F238E27FC236}">
                <a16:creationId xmlns:a16="http://schemas.microsoft.com/office/drawing/2014/main" id="{401D98E1-2931-A551-8498-748B53E206F8}"/>
              </a:ext>
            </a:extLst>
          </xdr:cNvPr>
          <xdr:cNvSpPr/>
        </xdr:nvSpPr>
        <xdr:spPr>
          <a:xfrm>
            <a:off x="504825" y="3083380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Rôles</a:t>
            </a:r>
          </a:p>
        </xdr:txBody>
      </xdr:sp>
      <xdr:sp macro="[0]!shapeNav" textlink="">
        <xdr:nvSpPr>
          <xdr:cNvPr id="9" name="titi7">
            <a:extLst>
              <a:ext uri="{FF2B5EF4-FFF2-40B4-BE49-F238E27FC236}">
                <a16:creationId xmlns:a16="http://schemas.microsoft.com/office/drawing/2014/main" id="{1BB686A5-E6F3-3C28-BE31-8D7D62183389}"/>
              </a:ext>
            </a:extLst>
          </xdr:cNvPr>
          <xdr:cNvSpPr/>
        </xdr:nvSpPr>
        <xdr:spPr>
          <a:xfrm>
            <a:off x="504825" y="3541941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Salariés</a:t>
            </a:r>
          </a:p>
        </xdr:txBody>
      </xdr:sp>
      <xdr:sp macro="[0]!shapeNav" textlink="">
        <xdr:nvSpPr>
          <xdr:cNvPr id="10" name="titi8">
            <a:extLst>
              <a:ext uri="{FF2B5EF4-FFF2-40B4-BE49-F238E27FC236}">
                <a16:creationId xmlns:a16="http://schemas.microsoft.com/office/drawing/2014/main" id="{332C5D9F-BE61-8D16-B9EF-8199E2096A83}"/>
              </a:ext>
            </a:extLst>
          </xdr:cNvPr>
          <xdr:cNvSpPr/>
        </xdr:nvSpPr>
        <xdr:spPr>
          <a:xfrm>
            <a:off x="504825" y="4000500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Spectacles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8B5E1-FB42-41F4-BEA3-1348A179A049}">
  <sheetPr codeName="Feuil3"/>
  <dimension ref="A1:Y50"/>
  <sheetViews>
    <sheetView topLeftCell="A3" workbookViewId="0">
      <pane ySplit="9" topLeftCell="A12" activePane="bottomLeft" state="frozen"/>
      <selection activeCell="A3" sqref="A3"/>
      <selection pane="bottomLeft" activeCell="F17" sqref="F17"/>
    </sheetView>
  </sheetViews>
  <sheetFormatPr baseColWidth="10" defaultRowHeight="14.5" x14ac:dyDescent="0.35"/>
  <cols>
    <col min="1" max="1" width="20.453125" style="1" bestFit="1" customWidth="1"/>
    <col min="2" max="2" width="22.453125" style="1" bestFit="1" customWidth="1"/>
    <col min="3" max="3" width="22.81640625" style="1" bestFit="1" customWidth="1"/>
    <col min="4" max="4" width="17.26953125" style="1" bestFit="1" customWidth="1"/>
    <col min="5" max="5" width="12.26953125" style="1" bestFit="1" customWidth="1"/>
    <col min="6" max="6" width="11.26953125" style="1" bestFit="1" customWidth="1"/>
    <col min="7" max="7" width="22" style="1" customWidth="1"/>
    <col min="8" max="8" width="20.453125" bestFit="1" customWidth="1"/>
    <col min="9" max="9" width="19.1796875" customWidth="1"/>
    <col min="10" max="10" width="13.54296875" bestFit="1" customWidth="1"/>
    <col min="11" max="11" width="7.453125" customWidth="1"/>
    <col min="12" max="12" width="15.453125" style="1" bestFit="1" customWidth="1"/>
    <col min="13" max="13" width="10.26953125" bestFit="1" customWidth="1"/>
    <col min="14" max="18" width="7.453125" customWidth="1"/>
    <col min="19" max="19" width="22.81640625" bestFit="1" customWidth="1"/>
    <col min="20" max="20" width="5.7265625" bestFit="1" customWidth="1"/>
    <col min="21" max="21" width="15.453125" bestFit="1" customWidth="1"/>
    <col min="22" max="22" width="18.453125" bestFit="1" customWidth="1"/>
    <col min="23" max="23" width="19.81640625" bestFit="1" customWidth="1"/>
  </cols>
  <sheetData>
    <row r="1" spans="1:25" hidden="1" x14ac:dyDescent="0.35"/>
    <row r="2" spans="1:25" hidden="1" x14ac:dyDescent="0.35">
      <c r="B2" s="2"/>
      <c r="C2" s="2"/>
      <c r="D2" s="2"/>
      <c r="E2" s="2"/>
      <c r="F2" s="2"/>
      <c r="G2" s="2"/>
      <c r="H2" s="3"/>
      <c r="I2" s="3"/>
      <c r="J2" s="3"/>
    </row>
    <row r="3" spans="1:25" x14ac:dyDescent="0.35">
      <c r="A3" s="1" t="s">
        <v>0</v>
      </c>
      <c r="B3" s="2" t="str" cm="1">
        <f t="array" ref="B3:I3">TRANSPOSE(_xlfn.UNIQUE(A12:A50))</f>
        <v>DistributionsArtistiques</v>
      </c>
      <c r="C3" s="2" t="str">
        <v>DistributionsTechniques</v>
      </c>
      <c r="D3" s="2" t="str">
        <v>Lieux</v>
      </c>
      <c r="E3" s="2" t="str">
        <v>Pieces</v>
      </c>
      <c r="F3" s="2" t="str">
        <v>Professions</v>
      </c>
      <c r="G3" s="2" t="str">
        <v>Roles</v>
      </c>
      <c r="H3" s="2" t="str">
        <v>Salaries</v>
      </c>
      <c r="I3" s="2" t="str">
        <v>Spectacles</v>
      </c>
      <c r="J3" s="2" t="s">
        <v>1</v>
      </c>
    </row>
    <row r="4" spans="1:25" x14ac:dyDescent="0.35">
      <c r="A4" s="1" t="s">
        <v>2</v>
      </c>
      <c r="B4" s="2">
        <f t="shared" ref="B4:I4" si="0">_xlfn.XMATCH(B3,$A$1:$A$401,0)</f>
        <v>12</v>
      </c>
      <c r="C4" s="2">
        <f t="shared" si="0"/>
        <v>19</v>
      </c>
      <c r="D4" s="2">
        <f t="shared" si="0"/>
        <v>25</v>
      </c>
      <c r="E4" s="2">
        <f t="shared" si="0"/>
        <v>30</v>
      </c>
      <c r="F4" s="2">
        <f t="shared" si="0"/>
        <v>35</v>
      </c>
      <c r="G4" s="2">
        <f t="shared" si="0"/>
        <v>39</v>
      </c>
      <c r="H4" s="2">
        <f t="shared" si="0"/>
        <v>42</v>
      </c>
      <c r="I4" s="2">
        <f t="shared" si="0"/>
        <v>47</v>
      </c>
      <c r="J4" s="2" cm="1">
        <f t="array" ref="J4">MAX((B:B&lt;&gt;"")*(ROW(B:B)))+1</f>
        <v>51</v>
      </c>
    </row>
    <row r="5" spans="1:25" x14ac:dyDescent="0.35">
      <c r="A5" s="1" t="s">
        <v>1</v>
      </c>
      <c r="B5" s="2">
        <f>C4-1</f>
        <v>18</v>
      </c>
      <c r="C5" s="2">
        <f t="shared" ref="C5:I5" si="1">D4-1</f>
        <v>24</v>
      </c>
      <c r="D5" s="2">
        <f t="shared" si="1"/>
        <v>29</v>
      </c>
      <c r="E5" s="2">
        <f t="shared" si="1"/>
        <v>34</v>
      </c>
      <c r="F5" s="2">
        <f t="shared" si="1"/>
        <v>38</v>
      </c>
      <c r="G5" s="2">
        <f t="shared" si="1"/>
        <v>41</v>
      </c>
      <c r="H5" s="2">
        <f t="shared" si="1"/>
        <v>46</v>
      </c>
      <c r="I5" s="2">
        <f t="shared" si="1"/>
        <v>50</v>
      </c>
      <c r="J5" s="2"/>
      <c r="N5" s="4"/>
      <c r="P5" s="4"/>
      <c r="Q5" s="4"/>
    </row>
    <row r="6" spans="1:25" x14ac:dyDescent="0.35">
      <c r="A6" s="1" t="s">
        <v>3</v>
      </c>
      <c r="B6" s="5" t="s">
        <v>4</v>
      </c>
      <c r="C6" s="5" t="s">
        <v>5</v>
      </c>
      <c r="D6" s="5" t="s">
        <v>6</v>
      </c>
      <c r="E6" s="5" t="s">
        <v>7</v>
      </c>
      <c r="F6" s="5" t="s">
        <v>8</v>
      </c>
      <c r="G6" s="5" t="s">
        <v>9</v>
      </c>
      <c r="H6" s="5" t="s">
        <v>10</v>
      </c>
      <c r="I6" s="5" t="s">
        <v>11</v>
      </c>
      <c r="J6" s="5"/>
      <c r="N6" s="4"/>
      <c r="P6" s="4"/>
      <c r="Q6" s="4"/>
    </row>
    <row r="7" spans="1:25" x14ac:dyDescent="0.35">
      <c r="A7" s="1" t="s">
        <v>12</v>
      </c>
      <c r="B7" s="5">
        <v>1</v>
      </c>
      <c r="C7" s="5">
        <v>2</v>
      </c>
      <c r="D7" s="5">
        <v>3</v>
      </c>
      <c r="E7" s="5">
        <v>4</v>
      </c>
      <c r="F7" s="5">
        <v>5</v>
      </c>
      <c r="G7" s="5">
        <v>6</v>
      </c>
      <c r="H7" s="5">
        <v>7</v>
      </c>
      <c r="I7" s="5">
        <v>8</v>
      </c>
      <c r="J7" s="5"/>
      <c r="N7" s="4"/>
      <c r="P7" s="4"/>
      <c r="Q7" s="4"/>
    </row>
    <row r="8" spans="1:25" hidden="1" x14ac:dyDescent="0.35">
      <c r="N8" s="4"/>
      <c r="P8" s="4"/>
      <c r="Q8" s="4"/>
    </row>
    <row r="9" spans="1:25" hidden="1" x14ac:dyDescent="0.35">
      <c r="N9" s="4"/>
      <c r="P9" s="4"/>
      <c r="Q9" s="4"/>
    </row>
    <row r="10" spans="1:25" hidden="1" x14ac:dyDescent="0.35">
      <c r="N10" s="4"/>
      <c r="P10" s="4"/>
      <c r="Q10" s="4"/>
    </row>
    <row r="11" spans="1:25" x14ac:dyDescent="0.35">
      <c r="A11" s="6" t="s">
        <v>13</v>
      </c>
      <c r="B11" s="6" t="s">
        <v>14</v>
      </c>
      <c r="C11" s="6" t="s">
        <v>15</v>
      </c>
      <c r="D11" s="6" t="s">
        <v>16</v>
      </c>
      <c r="E11" s="6" t="s">
        <v>17</v>
      </c>
      <c r="F11" s="6" t="s">
        <v>18</v>
      </c>
      <c r="G11" s="6" t="s">
        <v>19</v>
      </c>
      <c r="H11" s="6" t="s">
        <v>20</v>
      </c>
      <c r="I11" s="6" t="s">
        <v>21</v>
      </c>
      <c r="J11" s="6" t="s">
        <v>22</v>
      </c>
      <c r="K11" s="6" t="s">
        <v>23</v>
      </c>
      <c r="L11" s="6" t="s">
        <v>102</v>
      </c>
      <c r="N11" s="4"/>
      <c r="P11" s="4"/>
      <c r="Q11" s="4"/>
    </row>
    <row r="12" spans="1:25" x14ac:dyDescent="0.35">
      <c r="A12" s="7" t="s">
        <v>24</v>
      </c>
      <c r="B12" s="7" t="s">
        <v>25</v>
      </c>
      <c r="C12" s="7"/>
      <c r="D12" s="7"/>
      <c r="E12" s="7"/>
      <c r="F12" s="7"/>
      <c r="G12" s="7" t="s">
        <v>26</v>
      </c>
      <c r="H12" s="7" t="str">
        <f t="shared" ref="H12:H50" si="2">A12</f>
        <v>DistributionsArtistiques</v>
      </c>
      <c r="I12" s="7" t="str">
        <f t="shared" ref="I12:I50" si="3">HLOOKUP(H12,$B$3:$Z$6,4,FALSE)</f>
        <v>Distribution artistique</v>
      </c>
      <c r="J12" s="1">
        <f t="shared" ref="J12:J50" si="4">HLOOKUP(H12,$B$3:$Z$7,5,FALSE)</f>
        <v>1</v>
      </c>
      <c r="K12" s="1" t="s">
        <v>27</v>
      </c>
      <c r="M12" s="7"/>
      <c r="N12" s="4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</row>
    <row r="13" spans="1:25" x14ac:dyDescent="0.35">
      <c r="A13" s="7" t="s">
        <v>24</v>
      </c>
      <c r="B13" s="7" t="s">
        <v>28</v>
      </c>
      <c r="C13" s="7" t="s">
        <v>28</v>
      </c>
      <c r="D13" s="7" t="s">
        <v>28</v>
      </c>
      <c r="E13" s="7" t="s">
        <v>28</v>
      </c>
      <c r="F13" s="7" t="s">
        <v>29</v>
      </c>
      <c r="G13" s="7" t="s">
        <v>30</v>
      </c>
      <c r="H13" s="7" t="str">
        <f t="shared" si="2"/>
        <v>DistributionsArtistiques</v>
      </c>
      <c r="I13" s="7" t="str">
        <f t="shared" si="3"/>
        <v>Distribution artistique</v>
      </c>
      <c r="J13" s="1">
        <f t="shared" si="4"/>
        <v>1</v>
      </c>
      <c r="K13" s="1" t="s">
        <v>27</v>
      </c>
      <c r="L13" s="1" t="s">
        <v>66</v>
      </c>
      <c r="M13" s="7"/>
      <c r="P13" s="4"/>
      <c r="Q13" s="4"/>
    </row>
    <row r="14" spans="1:25" x14ac:dyDescent="0.35">
      <c r="A14" s="7" t="s">
        <v>24</v>
      </c>
      <c r="B14" s="7" t="s">
        <v>31</v>
      </c>
      <c r="C14" s="7" t="s">
        <v>31</v>
      </c>
      <c r="D14" s="7"/>
      <c r="E14" s="7" t="s">
        <v>31</v>
      </c>
      <c r="F14" s="7" t="s">
        <v>8</v>
      </c>
      <c r="G14" s="7" t="s">
        <v>32</v>
      </c>
      <c r="H14" s="7" t="str">
        <f t="shared" si="2"/>
        <v>DistributionsArtistiques</v>
      </c>
      <c r="I14" s="7" t="str">
        <f t="shared" si="3"/>
        <v>Distribution artistique</v>
      </c>
      <c r="J14" s="1">
        <f t="shared" si="4"/>
        <v>1</v>
      </c>
      <c r="K14" s="1" t="s">
        <v>27</v>
      </c>
      <c r="L14" s="1" t="s">
        <v>82</v>
      </c>
      <c r="M14" s="7"/>
      <c r="P14" s="4"/>
      <c r="Q14" s="4"/>
    </row>
    <row r="15" spans="1:25" x14ac:dyDescent="0.35">
      <c r="A15" s="7" t="s">
        <v>24</v>
      </c>
      <c r="B15" s="7" t="s">
        <v>33</v>
      </c>
      <c r="C15" s="7" t="s">
        <v>33</v>
      </c>
      <c r="D15" s="7"/>
      <c r="E15" s="7" t="s">
        <v>33</v>
      </c>
      <c r="F15" s="7" t="s">
        <v>34</v>
      </c>
      <c r="G15" s="7" t="s">
        <v>35</v>
      </c>
      <c r="H15" s="7" t="str">
        <f t="shared" si="2"/>
        <v>DistributionsArtistiques</v>
      </c>
      <c r="I15" s="7" t="str">
        <f t="shared" si="3"/>
        <v>Distribution artistique</v>
      </c>
      <c r="J15" s="1">
        <f t="shared" si="4"/>
        <v>1</v>
      </c>
      <c r="K15" s="1" t="s">
        <v>27</v>
      </c>
      <c r="L15" s="1" t="s">
        <v>88</v>
      </c>
      <c r="M15" s="7"/>
      <c r="P15" s="4"/>
      <c r="Q15" s="4"/>
    </row>
    <row r="16" spans="1:25" x14ac:dyDescent="0.35">
      <c r="A16" s="7" t="s">
        <v>24</v>
      </c>
      <c r="B16" s="7" t="s">
        <v>36</v>
      </c>
      <c r="C16" s="7" t="s">
        <v>36</v>
      </c>
      <c r="D16" s="7"/>
      <c r="E16" s="7"/>
      <c r="F16" s="7"/>
      <c r="G16" s="7" t="s">
        <v>37</v>
      </c>
      <c r="H16" s="7" t="str">
        <f t="shared" si="2"/>
        <v>DistributionsArtistiques</v>
      </c>
      <c r="I16" s="7" t="str">
        <f t="shared" si="3"/>
        <v>Distribution artistique</v>
      </c>
      <c r="J16" s="1">
        <f t="shared" si="4"/>
        <v>1</v>
      </c>
      <c r="K16" s="1" t="s">
        <v>38</v>
      </c>
      <c r="M16" s="7"/>
      <c r="P16" s="4"/>
      <c r="Q16" s="4"/>
      <c r="U16" s="6"/>
      <c r="V16" s="8" t="s">
        <v>39</v>
      </c>
      <c r="W16" s="8" t="s">
        <v>40</v>
      </c>
    </row>
    <row r="17" spans="1:24" x14ac:dyDescent="0.35">
      <c r="A17" s="7" t="s">
        <v>24</v>
      </c>
      <c r="B17" s="7" t="s">
        <v>96</v>
      </c>
      <c r="C17" s="7" t="s">
        <v>96</v>
      </c>
      <c r="D17" s="7" t="s">
        <v>96</v>
      </c>
      <c r="E17" s="7" t="s">
        <v>96</v>
      </c>
      <c r="F17" s="7" t="s">
        <v>11</v>
      </c>
      <c r="G17" s="7" t="s">
        <v>41</v>
      </c>
      <c r="H17" s="7" t="str">
        <f t="shared" si="2"/>
        <v>DistributionsArtistiques</v>
      </c>
      <c r="I17" s="7" t="str">
        <f t="shared" si="3"/>
        <v>Distribution artistique</v>
      </c>
      <c r="J17" s="1">
        <f t="shared" si="4"/>
        <v>1</v>
      </c>
      <c r="K17" s="1" t="s">
        <v>27</v>
      </c>
      <c r="L17" s="1" t="s">
        <v>100</v>
      </c>
      <c r="M17" s="7"/>
      <c r="P17" s="4"/>
      <c r="Q17" s="4"/>
      <c r="R17" s="1" cm="1">
        <f t="array" ref="R17:R24">_xlfn.UNIQUE(_xlfn._xlws.FILTER(J12:J1000,J12:J1000&lt;&gt;0))</f>
        <v>1</v>
      </c>
      <c r="S17" t="str" cm="1">
        <f t="array" ref="S17:S24">_xlfn.UNIQUE(_xlfn._xlws.FILTER(H12:H1000,H12:H1000&lt;&gt;0))</f>
        <v>DistributionsArtistiques</v>
      </c>
      <c r="U17" s="6" t="str" cm="1">
        <f t="array" ref="U17:U27">TRANSPOSE(_xlfn.UNIQUE(_xlfn._xlws.FILTER(B11:P11,B11:P11&lt;&gt;"")))</f>
        <v>champs</v>
      </c>
      <c r="V17" t="s">
        <v>42</v>
      </c>
      <c r="W17" t="s">
        <v>16</v>
      </c>
      <c r="X17" t="str" cm="1">
        <f t="array" ref="X17:X24">_xlfn.UNIQUE(_xlfn._xlws.FILTER(I12:I1000,I12:I1000&lt;&gt;0))</f>
        <v>Distribution artistique</v>
      </c>
    </row>
    <row r="18" spans="1:24" x14ac:dyDescent="0.35">
      <c r="A18" s="7" t="s">
        <v>24</v>
      </c>
      <c r="B18" s="7" t="s">
        <v>43</v>
      </c>
      <c r="C18" s="7" t="s">
        <v>43</v>
      </c>
      <c r="D18" s="7"/>
      <c r="E18" s="7"/>
      <c r="F18" s="7"/>
      <c r="G18" s="7" t="s">
        <v>44</v>
      </c>
      <c r="H18" s="7" t="str">
        <f t="shared" si="2"/>
        <v>DistributionsArtistiques</v>
      </c>
      <c r="I18" s="7" t="str">
        <f t="shared" si="3"/>
        <v>Distribution artistique</v>
      </c>
      <c r="J18" s="1">
        <f t="shared" si="4"/>
        <v>1</v>
      </c>
      <c r="K18" s="1" t="s">
        <v>38</v>
      </c>
      <c r="M18" s="7"/>
      <c r="P18" s="4"/>
      <c r="Q18" s="4"/>
      <c r="R18" s="1">
        <v>2</v>
      </c>
      <c r="S18" t="str">
        <v>DistributionsTechniques</v>
      </c>
      <c r="U18" s="6" t="str">
        <v>visibles</v>
      </c>
      <c r="V18" t="s">
        <v>45</v>
      </c>
      <c r="W18" t="s">
        <v>19</v>
      </c>
      <c r="X18" t="str">
        <v>Distribution technique</v>
      </c>
    </row>
    <row r="19" spans="1:24" x14ac:dyDescent="0.35">
      <c r="A19" s="7" t="s">
        <v>46</v>
      </c>
      <c r="B19" s="7" t="s">
        <v>47</v>
      </c>
      <c r="C19" s="7"/>
      <c r="D19" s="7"/>
      <c r="E19" s="7"/>
      <c r="F19" s="7"/>
      <c r="G19" s="7" t="s">
        <v>48</v>
      </c>
      <c r="H19" s="7" t="str">
        <f t="shared" si="2"/>
        <v>DistributionsTechniques</v>
      </c>
      <c r="I19" s="7" t="str">
        <f t="shared" si="3"/>
        <v>Distribution technique</v>
      </c>
      <c r="J19" s="1">
        <f t="shared" si="4"/>
        <v>2</v>
      </c>
      <c r="K19" s="1" t="s">
        <v>27</v>
      </c>
      <c r="M19" s="7"/>
      <c r="P19" s="4"/>
      <c r="Q19" s="4"/>
      <c r="R19" s="1">
        <v>3</v>
      </c>
      <c r="S19" t="str">
        <v>Lieux</v>
      </c>
      <c r="U19" s="6" t="str">
        <v>recherche</v>
      </c>
      <c r="V19" t="s">
        <v>49</v>
      </c>
      <c r="W19" t="s">
        <v>14</v>
      </c>
      <c r="X19" t="str">
        <v>Lieux de représentation</v>
      </c>
    </row>
    <row r="20" spans="1:24" x14ac:dyDescent="0.35">
      <c r="A20" s="7" t="s">
        <v>46</v>
      </c>
      <c r="B20" s="7" t="s">
        <v>28</v>
      </c>
      <c r="C20" s="7" t="s">
        <v>28</v>
      </c>
      <c r="D20" s="7" t="s">
        <v>28</v>
      </c>
      <c r="E20" s="7" t="s">
        <v>28</v>
      </c>
      <c r="F20" s="7" t="s">
        <v>29</v>
      </c>
      <c r="G20" s="7" t="s">
        <v>30</v>
      </c>
      <c r="H20" s="7" t="str">
        <f t="shared" si="2"/>
        <v>DistributionsTechniques</v>
      </c>
      <c r="I20" s="7" t="str">
        <f t="shared" si="3"/>
        <v>Distribution technique</v>
      </c>
      <c r="J20" s="1">
        <f t="shared" si="4"/>
        <v>2</v>
      </c>
      <c r="K20" s="1" t="s">
        <v>27</v>
      </c>
      <c r="L20" s="1" t="s">
        <v>66</v>
      </c>
      <c r="M20" s="7"/>
      <c r="N20" s="1"/>
      <c r="O20" s="1"/>
      <c r="P20" s="1"/>
      <c r="Q20" s="1"/>
      <c r="R20" s="1">
        <v>4</v>
      </c>
      <c r="S20" t="str">
        <v>Pieces</v>
      </c>
      <c r="U20" s="6" t="str">
        <v>liaisonID</v>
      </c>
      <c r="V20" t="s">
        <v>50</v>
      </c>
      <c r="W20" t="s">
        <v>17</v>
      </c>
      <c r="X20" t="str">
        <v>Pièces</v>
      </c>
    </row>
    <row r="21" spans="1:24" x14ac:dyDescent="0.35">
      <c r="A21" s="7" t="s">
        <v>46</v>
      </c>
      <c r="B21" s="7" t="s">
        <v>31</v>
      </c>
      <c r="C21" s="7" t="s">
        <v>31</v>
      </c>
      <c r="D21" s="7"/>
      <c r="E21" s="7" t="s">
        <v>31</v>
      </c>
      <c r="F21" s="7" t="s">
        <v>8</v>
      </c>
      <c r="G21" s="7" t="s">
        <v>32</v>
      </c>
      <c r="H21" s="7" t="str">
        <f t="shared" si="2"/>
        <v>DistributionsTechniques</v>
      </c>
      <c r="I21" s="7" t="str">
        <f t="shared" si="3"/>
        <v>Distribution technique</v>
      </c>
      <c r="J21" s="1">
        <f t="shared" si="4"/>
        <v>2</v>
      </c>
      <c r="K21" s="1" t="s">
        <v>27</v>
      </c>
      <c r="L21" s="1" t="s">
        <v>82</v>
      </c>
      <c r="M21" s="7"/>
      <c r="P21" s="4"/>
      <c r="Q21" s="4"/>
      <c r="R21" s="1">
        <v>5</v>
      </c>
      <c r="S21" t="str">
        <v>Professions</v>
      </c>
      <c r="U21" s="6" t="str">
        <v>tableID</v>
      </c>
      <c r="V21" t="s">
        <v>52</v>
      </c>
      <c r="X21" t="str">
        <v>Professions</v>
      </c>
    </row>
    <row r="22" spans="1:24" x14ac:dyDescent="0.35">
      <c r="A22" s="7" t="s">
        <v>46</v>
      </c>
      <c r="B22" s="7" t="s">
        <v>54</v>
      </c>
      <c r="C22" s="7" t="s">
        <v>54</v>
      </c>
      <c r="D22" s="7"/>
      <c r="E22" s="7"/>
      <c r="F22" s="7"/>
      <c r="G22" s="7" t="s">
        <v>55</v>
      </c>
      <c r="H22" s="7" t="str">
        <f t="shared" si="2"/>
        <v>DistributionsTechniques</v>
      </c>
      <c r="I22" s="7" t="str">
        <f t="shared" si="3"/>
        <v>Distribution technique</v>
      </c>
      <c r="J22" s="1">
        <f t="shared" si="4"/>
        <v>2</v>
      </c>
      <c r="K22" s="1" t="s">
        <v>56</v>
      </c>
      <c r="M22" s="7"/>
      <c r="P22" s="4"/>
      <c r="Q22" s="4"/>
      <c r="R22" s="1">
        <v>6</v>
      </c>
      <c r="S22" t="str">
        <v>Roles</v>
      </c>
      <c r="U22" s="6" t="str">
        <v>display</v>
      </c>
      <c r="V22" t="s">
        <v>51</v>
      </c>
      <c r="X22" t="str">
        <v>Rôles</v>
      </c>
    </row>
    <row r="23" spans="1:24" x14ac:dyDescent="0.35">
      <c r="A23" s="7" t="s">
        <v>46</v>
      </c>
      <c r="B23" s="7" t="s">
        <v>58</v>
      </c>
      <c r="C23" s="7" t="s">
        <v>58</v>
      </c>
      <c r="D23" s="7"/>
      <c r="E23" s="7"/>
      <c r="F23" s="7"/>
      <c r="G23" s="7" t="s">
        <v>59</v>
      </c>
      <c r="H23" s="7" t="str">
        <f t="shared" si="2"/>
        <v>DistributionsTechniques</v>
      </c>
      <c r="I23" s="7" t="str">
        <f t="shared" si="3"/>
        <v>Distribution technique</v>
      </c>
      <c r="J23" s="1">
        <f t="shared" si="4"/>
        <v>2</v>
      </c>
      <c r="K23" s="1" t="s">
        <v>60</v>
      </c>
      <c r="M23" s="7"/>
      <c r="P23" s="4"/>
      <c r="Q23" s="4"/>
      <c r="R23" s="1">
        <v>7</v>
      </c>
      <c r="S23" t="str">
        <v>Salaries</v>
      </c>
      <c r="U23" s="6" t="str">
        <v>tableBD</v>
      </c>
      <c r="V23" t="s">
        <v>57</v>
      </c>
      <c r="X23" t="str">
        <v>Salariés</v>
      </c>
    </row>
    <row r="24" spans="1:24" x14ac:dyDescent="0.35">
      <c r="A24" s="7" t="s">
        <v>46</v>
      </c>
      <c r="B24" s="7" t="s">
        <v>96</v>
      </c>
      <c r="C24" s="7" t="s">
        <v>96</v>
      </c>
      <c r="D24" s="7" t="s">
        <v>96</v>
      </c>
      <c r="E24" s="7" t="s">
        <v>96</v>
      </c>
      <c r="F24" s="7" t="s">
        <v>11</v>
      </c>
      <c r="G24" s="7" t="s">
        <v>41</v>
      </c>
      <c r="H24" s="7" t="str">
        <f t="shared" si="2"/>
        <v>DistributionsTechniques</v>
      </c>
      <c r="I24" s="7" t="str">
        <f t="shared" si="3"/>
        <v>Distribution technique</v>
      </c>
      <c r="J24" s="1">
        <f t="shared" si="4"/>
        <v>2</v>
      </c>
      <c r="K24" s="1" t="s">
        <v>27</v>
      </c>
      <c r="L24" s="1" t="s">
        <v>100</v>
      </c>
      <c r="M24" s="7"/>
      <c r="P24" s="4"/>
      <c r="Q24" s="4"/>
      <c r="R24" s="1">
        <v>8</v>
      </c>
      <c r="S24" t="str">
        <v>Spectacles</v>
      </c>
      <c r="U24" s="6" t="str">
        <v>tableDisplay</v>
      </c>
      <c r="V24" t="s">
        <v>61</v>
      </c>
      <c r="X24" t="str">
        <v>Spectacles</v>
      </c>
    </row>
    <row r="25" spans="1:24" x14ac:dyDescent="0.35">
      <c r="A25" s="7" t="s">
        <v>62</v>
      </c>
      <c r="B25" s="7" t="s">
        <v>63</v>
      </c>
      <c r="C25" s="7"/>
      <c r="D25" s="7"/>
      <c r="E25" s="7"/>
      <c r="F25" s="7"/>
      <c r="G25" s="7" t="s">
        <v>64</v>
      </c>
      <c r="H25" s="7" t="str">
        <f t="shared" si="2"/>
        <v>Lieux</v>
      </c>
      <c r="I25" s="7" t="str">
        <f t="shared" si="3"/>
        <v>Lieux de représentation</v>
      </c>
      <c r="J25" s="1">
        <f t="shared" si="4"/>
        <v>3</v>
      </c>
      <c r="K25" s="1" t="s">
        <v>27</v>
      </c>
      <c r="M25" s="7"/>
      <c r="P25" s="4"/>
      <c r="Q25" s="4"/>
      <c r="U25" s="6" t="str">
        <v>feuille</v>
      </c>
      <c r="V25" t="s">
        <v>65</v>
      </c>
    </row>
    <row r="26" spans="1:24" x14ac:dyDescent="0.35">
      <c r="A26" s="7" t="s">
        <v>62</v>
      </c>
      <c r="B26" s="7" t="s">
        <v>66</v>
      </c>
      <c r="C26" s="7" t="s">
        <v>66</v>
      </c>
      <c r="D26" s="7" t="s">
        <v>66</v>
      </c>
      <c r="E26" s="7"/>
      <c r="F26" s="7"/>
      <c r="G26" s="7" t="s">
        <v>67</v>
      </c>
      <c r="H26" s="7" t="str">
        <f t="shared" si="2"/>
        <v>Lieux</v>
      </c>
      <c r="I26" s="7" t="str">
        <f t="shared" si="3"/>
        <v>Lieux de représentation</v>
      </c>
      <c r="J26" s="1">
        <f t="shared" si="4"/>
        <v>3</v>
      </c>
      <c r="K26" s="1" t="s">
        <v>68</v>
      </c>
      <c r="M26" s="7"/>
      <c r="P26" s="4"/>
      <c r="Q26" s="4"/>
      <c r="U26" s="6" t="str">
        <v>regX</v>
      </c>
      <c r="V26" t="s">
        <v>53</v>
      </c>
    </row>
    <row r="27" spans="1:24" x14ac:dyDescent="0.35">
      <c r="A27" s="7" t="s">
        <v>62</v>
      </c>
      <c r="B27" s="7" t="s">
        <v>69</v>
      </c>
      <c r="C27" s="7" t="s">
        <v>69</v>
      </c>
      <c r="D27" s="7"/>
      <c r="E27" s="7"/>
      <c r="F27" s="7"/>
      <c r="G27" s="7" t="s">
        <v>69</v>
      </c>
      <c r="H27" s="7" t="str">
        <f t="shared" si="2"/>
        <v>Lieux</v>
      </c>
      <c r="I27" s="7" t="str">
        <f t="shared" si="3"/>
        <v>Lieux de représentation</v>
      </c>
      <c r="J27" s="1">
        <f t="shared" si="4"/>
        <v>3</v>
      </c>
      <c r="K27" s="1" t="s">
        <v>68</v>
      </c>
      <c r="M27" s="7"/>
      <c r="P27" s="4"/>
      <c r="Q27" s="4"/>
      <c r="U27" s="9" t="str">
        <v>liaisonIdDisplay</v>
      </c>
    </row>
    <row r="28" spans="1:24" x14ac:dyDescent="0.35">
      <c r="A28" s="7" t="s">
        <v>62</v>
      </c>
      <c r="B28" s="7" t="s">
        <v>70</v>
      </c>
      <c r="C28" s="7" t="s">
        <v>70</v>
      </c>
      <c r="D28" s="7"/>
      <c r="E28" s="7"/>
      <c r="F28" s="7"/>
      <c r="G28" s="7" t="s">
        <v>70</v>
      </c>
      <c r="H28" s="7" t="str">
        <f t="shared" si="2"/>
        <v>Lieux</v>
      </c>
      <c r="I28" s="7" t="str">
        <f t="shared" si="3"/>
        <v>Lieux de représentation</v>
      </c>
      <c r="J28" s="1">
        <f t="shared" si="4"/>
        <v>3</v>
      </c>
      <c r="K28" s="1" t="s">
        <v>68</v>
      </c>
      <c r="M28" s="7"/>
      <c r="P28" s="4"/>
      <c r="Q28" s="4"/>
    </row>
    <row r="29" spans="1:24" x14ac:dyDescent="0.35">
      <c r="A29" s="7" t="s">
        <v>62</v>
      </c>
      <c r="B29" s="7" t="s">
        <v>71</v>
      </c>
      <c r="C29" s="7" t="s">
        <v>71</v>
      </c>
      <c r="D29" s="7"/>
      <c r="E29" s="7"/>
      <c r="F29" s="7"/>
      <c r="G29" s="7" t="s">
        <v>71</v>
      </c>
      <c r="H29" s="7" t="str">
        <f t="shared" si="2"/>
        <v>Lieux</v>
      </c>
      <c r="I29" s="7" t="str">
        <f t="shared" si="3"/>
        <v>Lieux de représentation</v>
      </c>
      <c r="J29" s="1">
        <f t="shared" si="4"/>
        <v>3</v>
      </c>
      <c r="K29" s="1" t="s">
        <v>68</v>
      </c>
      <c r="M29" s="7"/>
    </row>
    <row r="30" spans="1:24" x14ac:dyDescent="0.35">
      <c r="A30" s="7" t="s">
        <v>72</v>
      </c>
      <c r="B30" s="7" t="s">
        <v>73</v>
      </c>
      <c r="C30" s="7" t="s">
        <v>73</v>
      </c>
      <c r="D30" s="7"/>
      <c r="E30" s="7"/>
      <c r="F30" s="7" t="s">
        <v>72</v>
      </c>
      <c r="G30" s="7" t="s">
        <v>74</v>
      </c>
      <c r="H30" s="7" t="str">
        <f t="shared" si="2"/>
        <v>Pieces</v>
      </c>
      <c r="I30" s="7" t="str">
        <f t="shared" si="3"/>
        <v>Pièces</v>
      </c>
      <c r="J30" s="1">
        <f t="shared" si="4"/>
        <v>4</v>
      </c>
      <c r="K30" s="1" t="s">
        <v>27</v>
      </c>
      <c r="M30" s="7"/>
    </row>
    <row r="31" spans="1:24" x14ac:dyDescent="0.35">
      <c r="A31" s="7" t="s">
        <v>72</v>
      </c>
      <c r="B31" s="7" t="s">
        <v>75</v>
      </c>
      <c r="C31" s="7" t="s">
        <v>75</v>
      </c>
      <c r="D31" s="7" t="s">
        <v>75</v>
      </c>
      <c r="E31" s="7"/>
      <c r="F31" s="7"/>
      <c r="G31" s="7" t="s">
        <v>76</v>
      </c>
      <c r="H31" s="7" t="str">
        <f t="shared" si="2"/>
        <v>Pieces</v>
      </c>
      <c r="I31" s="7" t="str">
        <f t="shared" si="3"/>
        <v>Pièces</v>
      </c>
      <c r="J31" s="1">
        <f t="shared" si="4"/>
        <v>4</v>
      </c>
      <c r="K31" s="1" t="s">
        <v>68</v>
      </c>
      <c r="M31" s="7"/>
    </row>
    <row r="32" spans="1:24" x14ac:dyDescent="0.35">
      <c r="A32" s="7" t="s">
        <v>72</v>
      </c>
      <c r="B32" s="7" t="s">
        <v>77</v>
      </c>
      <c r="C32" s="7" t="s">
        <v>77</v>
      </c>
      <c r="D32" s="7"/>
      <c r="E32" s="7"/>
      <c r="F32" s="7"/>
      <c r="G32" s="7" t="s">
        <v>78</v>
      </c>
      <c r="H32" s="7" t="str">
        <f t="shared" si="2"/>
        <v>Pieces</v>
      </c>
      <c r="I32" s="7" t="str">
        <f t="shared" si="3"/>
        <v>Pièces</v>
      </c>
      <c r="J32" s="1">
        <f t="shared" si="4"/>
        <v>4</v>
      </c>
      <c r="K32" s="1" t="s">
        <v>68</v>
      </c>
      <c r="M32" s="7"/>
    </row>
    <row r="33" spans="1:13" x14ac:dyDescent="0.35">
      <c r="A33" s="7" t="s">
        <v>72</v>
      </c>
      <c r="B33" s="7" t="s">
        <v>79</v>
      </c>
      <c r="C33" s="7" t="s">
        <v>79</v>
      </c>
      <c r="D33" s="7" t="s">
        <v>79</v>
      </c>
      <c r="E33" s="7"/>
      <c r="F33" s="7"/>
      <c r="G33" s="7" t="s">
        <v>79</v>
      </c>
      <c r="H33" s="7" t="str">
        <f t="shared" si="2"/>
        <v>Pieces</v>
      </c>
      <c r="I33" s="7" t="str">
        <f t="shared" si="3"/>
        <v>Pièces</v>
      </c>
      <c r="J33" s="1">
        <f t="shared" si="4"/>
        <v>4</v>
      </c>
      <c r="K33" s="1" t="s">
        <v>68</v>
      </c>
      <c r="M33" s="7"/>
    </row>
    <row r="34" spans="1:13" x14ac:dyDescent="0.35">
      <c r="A34" s="7" t="s">
        <v>72</v>
      </c>
      <c r="B34" s="7" t="s">
        <v>80</v>
      </c>
      <c r="C34" s="7" t="s">
        <v>80</v>
      </c>
      <c r="D34" s="7"/>
      <c r="E34" s="7"/>
      <c r="F34" s="7"/>
      <c r="G34" s="7" t="s">
        <v>80</v>
      </c>
      <c r="H34" s="7" t="str">
        <f t="shared" si="2"/>
        <v>Pieces</v>
      </c>
      <c r="I34" s="7" t="str">
        <f t="shared" si="3"/>
        <v>Pièces</v>
      </c>
      <c r="J34" s="1">
        <f t="shared" si="4"/>
        <v>4</v>
      </c>
      <c r="K34" s="1" t="s">
        <v>68</v>
      </c>
      <c r="M34" s="7"/>
    </row>
    <row r="35" spans="1:13" x14ac:dyDescent="0.35">
      <c r="A35" s="7" t="s">
        <v>8</v>
      </c>
      <c r="B35" s="7" t="s">
        <v>31</v>
      </c>
      <c r="C35" s="7"/>
      <c r="D35" s="7"/>
      <c r="E35" s="7"/>
      <c r="F35" s="7"/>
      <c r="G35" s="7" t="s">
        <v>81</v>
      </c>
      <c r="H35" s="7" t="str">
        <f t="shared" si="2"/>
        <v>Professions</v>
      </c>
      <c r="I35" s="7" t="str">
        <f t="shared" si="3"/>
        <v>Professions</v>
      </c>
      <c r="J35" s="1">
        <f t="shared" si="4"/>
        <v>5</v>
      </c>
      <c r="K35" s="1" t="s">
        <v>27</v>
      </c>
      <c r="M35" s="7"/>
    </row>
    <row r="36" spans="1:13" x14ac:dyDescent="0.35">
      <c r="A36" s="7" t="s">
        <v>8</v>
      </c>
      <c r="B36" s="7" t="s">
        <v>82</v>
      </c>
      <c r="C36" s="7" t="s">
        <v>82</v>
      </c>
      <c r="D36" s="7" t="s">
        <v>82</v>
      </c>
      <c r="E36" s="7"/>
      <c r="F36" s="7"/>
      <c r="G36" s="7" t="s">
        <v>83</v>
      </c>
      <c r="H36" s="7" t="str">
        <f t="shared" si="2"/>
        <v>Professions</v>
      </c>
      <c r="I36" s="7" t="str">
        <f t="shared" si="3"/>
        <v>Professions</v>
      </c>
      <c r="J36" s="1">
        <f t="shared" si="4"/>
        <v>5</v>
      </c>
      <c r="K36" s="1" t="s">
        <v>68</v>
      </c>
      <c r="M36" s="7"/>
    </row>
    <row r="37" spans="1:13" x14ac:dyDescent="0.35">
      <c r="A37" s="7" t="s">
        <v>8</v>
      </c>
      <c r="B37" s="7" t="s">
        <v>84</v>
      </c>
      <c r="C37" s="7" t="s">
        <v>84</v>
      </c>
      <c r="D37" s="7"/>
      <c r="E37" s="7"/>
      <c r="F37" s="7"/>
      <c r="G37" s="7" t="s">
        <v>84</v>
      </c>
      <c r="H37" s="7" t="str">
        <f t="shared" si="2"/>
        <v>Professions</v>
      </c>
      <c r="I37" s="7" t="str">
        <f t="shared" si="3"/>
        <v>Professions</v>
      </c>
      <c r="J37" s="1">
        <f t="shared" si="4"/>
        <v>5</v>
      </c>
      <c r="K37" s="1" t="s">
        <v>85</v>
      </c>
      <c r="M37" s="7"/>
    </row>
    <row r="38" spans="1:13" x14ac:dyDescent="0.35">
      <c r="A38" s="7" t="s">
        <v>8</v>
      </c>
      <c r="B38" s="7" t="s">
        <v>86</v>
      </c>
      <c r="C38" s="7" t="s">
        <v>86</v>
      </c>
      <c r="D38" s="7"/>
      <c r="E38" s="7"/>
      <c r="F38" s="7"/>
      <c r="G38" s="7" t="s">
        <v>86</v>
      </c>
      <c r="H38" s="7" t="str">
        <f t="shared" si="2"/>
        <v>Professions</v>
      </c>
      <c r="I38" s="7" t="str">
        <f t="shared" si="3"/>
        <v>Professions</v>
      </c>
      <c r="J38" s="1">
        <f t="shared" si="4"/>
        <v>5</v>
      </c>
      <c r="K38" s="1" t="s">
        <v>85</v>
      </c>
      <c r="M38" s="7"/>
    </row>
    <row r="39" spans="1:13" x14ac:dyDescent="0.35">
      <c r="A39" s="7" t="s">
        <v>34</v>
      </c>
      <c r="B39" s="7" t="s">
        <v>33</v>
      </c>
      <c r="C39" s="7"/>
      <c r="D39" s="7"/>
      <c r="E39" s="7"/>
      <c r="F39" s="7"/>
      <c r="G39" s="7" t="s">
        <v>87</v>
      </c>
      <c r="H39" s="7" t="str">
        <f t="shared" si="2"/>
        <v>Roles</v>
      </c>
      <c r="I39" s="7" t="str">
        <f t="shared" si="3"/>
        <v>Rôles</v>
      </c>
      <c r="J39" s="1">
        <f t="shared" si="4"/>
        <v>6</v>
      </c>
      <c r="K39" s="1" t="s">
        <v>27</v>
      </c>
      <c r="M39" s="7"/>
    </row>
    <row r="40" spans="1:13" x14ac:dyDescent="0.35">
      <c r="A40" s="7" t="s">
        <v>34</v>
      </c>
      <c r="B40" s="7" t="s">
        <v>88</v>
      </c>
      <c r="C40" s="7" t="s">
        <v>88</v>
      </c>
      <c r="D40" s="7" t="s">
        <v>88</v>
      </c>
      <c r="E40" s="7"/>
      <c r="F40" s="7"/>
      <c r="G40" s="7" t="s">
        <v>89</v>
      </c>
      <c r="H40" s="7" t="str">
        <f t="shared" si="2"/>
        <v>Roles</v>
      </c>
      <c r="I40" s="7" t="str">
        <f t="shared" si="3"/>
        <v>Rôles</v>
      </c>
      <c r="J40" s="1">
        <f t="shared" si="4"/>
        <v>6</v>
      </c>
      <c r="K40" s="1" t="s">
        <v>68</v>
      </c>
      <c r="M40" s="7"/>
    </row>
    <row r="41" spans="1:13" x14ac:dyDescent="0.35">
      <c r="A41" s="7" t="s">
        <v>34</v>
      </c>
      <c r="B41" s="7" t="s">
        <v>73</v>
      </c>
      <c r="C41" s="7" t="s">
        <v>73</v>
      </c>
      <c r="D41" s="7" t="s">
        <v>73</v>
      </c>
      <c r="E41" s="7" t="s">
        <v>73</v>
      </c>
      <c r="F41" s="7" t="s">
        <v>72</v>
      </c>
      <c r="G41" s="7" t="s">
        <v>90</v>
      </c>
      <c r="H41" s="7" t="str">
        <f t="shared" si="2"/>
        <v>Roles</v>
      </c>
      <c r="I41" s="7" t="str">
        <f t="shared" si="3"/>
        <v>Rôles</v>
      </c>
      <c r="J41" s="1">
        <f t="shared" si="4"/>
        <v>6</v>
      </c>
      <c r="K41" s="1" t="s">
        <v>27</v>
      </c>
      <c r="L41" s="7" t="s">
        <v>75</v>
      </c>
      <c r="M41" s="7"/>
    </row>
    <row r="42" spans="1:13" x14ac:dyDescent="0.35">
      <c r="A42" s="7" t="s">
        <v>29</v>
      </c>
      <c r="B42" s="7" t="s">
        <v>28</v>
      </c>
      <c r="C42" s="7"/>
      <c r="D42" s="7"/>
      <c r="E42" s="7"/>
      <c r="F42" s="7"/>
      <c r="G42" s="7" t="s">
        <v>91</v>
      </c>
      <c r="H42" s="7" t="str">
        <f t="shared" si="2"/>
        <v>Salaries</v>
      </c>
      <c r="I42" s="7" t="str">
        <f t="shared" si="3"/>
        <v>Salariés</v>
      </c>
      <c r="J42" s="1">
        <f t="shared" si="4"/>
        <v>7</v>
      </c>
      <c r="K42" s="1" t="s">
        <v>27</v>
      </c>
      <c r="M42" s="7"/>
    </row>
    <row r="43" spans="1:13" x14ac:dyDescent="0.35">
      <c r="A43" s="7" t="s">
        <v>29</v>
      </c>
      <c r="B43" s="7" t="s">
        <v>92</v>
      </c>
      <c r="C43" s="7" t="s">
        <v>92</v>
      </c>
      <c r="D43" s="7"/>
      <c r="E43" s="7"/>
      <c r="F43" s="7"/>
      <c r="G43" s="7" t="s">
        <v>92</v>
      </c>
      <c r="H43" s="7" t="str">
        <f t="shared" si="2"/>
        <v>Salaries</v>
      </c>
      <c r="I43" s="7" t="str">
        <f t="shared" si="3"/>
        <v>Salariés</v>
      </c>
      <c r="J43" s="1">
        <f t="shared" si="4"/>
        <v>7</v>
      </c>
      <c r="K43" s="1" t="s">
        <v>68</v>
      </c>
      <c r="M43" s="7"/>
    </row>
    <row r="44" spans="1:13" x14ac:dyDescent="0.35">
      <c r="A44" s="7" t="s">
        <v>29</v>
      </c>
      <c r="B44" s="7" t="s">
        <v>66</v>
      </c>
      <c r="C44" s="7" t="s">
        <v>66</v>
      </c>
      <c r="D44" s="7" t="s">
        <v>66</v>
      </c>
      <c r="E44" s="7"/>
      <c r="F44" s="7"/>
      <c r="G44" s="7" t="s">
        <v>66</v>
      </c>
      <c r="H44" s="7" t="str">
        <f t="shared" si="2"/>
        <v>Salaries</v>
      </c>
      <c r="I44" s="7" t="str">
        <f t="shared" si="3"/>
        <v>Salariés</v>
      </c>
      <c r="J44" s="1">
        <f t="shared" si="4"/>
        <v>7</v>
      </c>
      <c r="K44" s="1" t="s">
        <v>68</v>
      </c>
      <c r="M44" s="7"/>
    </row>
    <row r="45" spans="1:13" x14ac:dyDescent="0.35">
      <c r="A45" s="7" t="s">
        <v>29</v>
      </c>
      <c r="B45" s="7" t="s">
        <v>93</v>
      </c>
      <c r="C45" s="7" t="s">
        <v>93</v>
      </c>
      <c r="D45" s="7" t="s">
        <v>93</v>
      </c>
      <c r="E45" s="7"/>
      <c r="F45" s="7"/>
      <c r="G45" s="7" t="s">
        <v>93</v>
      </c>
      <c r="H45" s="7" t="str">
        <f t="shared" si="2"/>
        <v>Salaries</v>
      </c>
      <c r="I45" s="7" t="str">
        <f t="shared" si="3"/>
        <v>Salariés</v>
      </c>
      <c r="J45" s="1">
        <f t="shared" si="4"/>
        <v>7</v>
      </c>
      <c r="K45" s="1" t="s">
        <v>68</v>
      </c>
      <c r="M45" s="7"/>
    </row>
    <row r="46" spans="1:13" x14ac:dyDescent="0.35">
      <c r="A46" s="7" t="s">
        <v>29</v>
      </c>
      <c r="B46" s="7" t="s">
        <v>94</v>
      </c>
      <c r="C46" s="7" t="s">
        <v>94</v>
      </c>
      <c r="D46" s="7"/>
      <c r="E46" s="7"/>
      <c r="F46" s="7"/>
      <c r="G46" s="7" t="s">
        <v>94</v>
      </c>
      <c r="H46" s="7" t="str">
        <f t="shared" si="2"/>
        <v>Salaries</v>
      </c>
      <c r="I46" s="7" t="str">
        <f t="shared" si="3"/>
        <v>Salariés</v>
      </c>
      <c r="J46" s="1">
        <f t="shared" si="4"/>
        <v>7</v>
      </c>
      <c r="K46" s="1" t="s">
        <v>95</v>
      </c>
      <c r="M46" s="7"/>
    </row>
    <row r="47" spans="1:13" x14ac:dyDescent="0.35">
      <c r="A47" s="7" t="s">
        <v>11</v>
      </c>
      <c r="B47" s="7" t="s">
        <v>96</v>
      </c>
      <c r="C47" s="7"/>
      <c r="D47" s="7"/>
      <c r="E47" s="7"/>
      <c r="F47" s="7"/>
      <c r="G47" s="7" t="s">
        <v>97</v>
      </c>
      <c r="H47" s="7" t="str">
        <f t="shared" si="2"/>
        <v>Spectacles</v>
      </c>
      <c r="I47" s="7" t="str">
        <f t="shared" si="3"/>
        <v>Spectacles</v>
      </c>
      <c r="J47" s="1">
        <f t="shared" si="4"/>
        <v>8</v>
      </c>
      <c r="K47" s="1" t="s">
        <v>27</v>
      </c>
      <c r="M47" s="7"/>
    </row>
    <row r="48" spans="1:13" x14ac:dyDescent="0.35">
      <c r="A48" s="7" t="s">
        <v>11</v>
      </c>
      <c r="B48" s="7" t="s">
        <v>98</v>
      </c>
      <c r="C48" s="7" t="s">
        <v>98</v>
      </c>
      <c r="D48" s="7"/>
      <c r="E48" s="7"/>
      <c r="F48" s="7"/>
      <c r="G48" s="7" t="s">
        <v>99</v>
      </c>
      <c r="H48" s="7" t="str">
        <f t="shared" si="2"/>
        <v>Spectacles</v>
      </c>
      <c r="I48" s="7" t="str">
        <f t="shared" si="3"/>
        <v>Spectacles</v>
      </c>
      <c r="J48" s="1">
        <f t="shared" si="4"/>
        <v>8</v>
      </c>
      <c r="K48" s="1" t="s">
        <v>68</v>
      </c>
      <c r="M48" s="7"/>
    </row>
    <row r="49" spans="1:13" x14ac:dyDescent="0.35">
      <c r="A49" s="7" t="s">
        <v>11</v>
      </c>
      <c r="B49" s="7" t="s">
        <v>100</v>
      </c>
      <c r="C49" s="7" t="s">
        <v>100</v>
      </c>
      <c r="D49" s="7" t="s">
        <v>100</v>
      </c>
      <c r="E49" s="7"/>
      <c r="F49" s="7"/>
      <c r="G49" s="7" t="s">
        <v>101</v>
      </c>
      <c r="H49" s="7" t="str">
        <f t="shared" si="2"/>
        <v>Spectacles</v>
      </c>
      <c r="I49" s="7" t="str">
        <f t="shared" si="3"/>
        <v>Spectacles</v>
      </c>
      <c r="J49" s="1">
        <f t="shared" si="4"/>
        <v>8</v>
      </c>
      <c r="K49" s="1" t="s">
        <v>68</v>
      </c>
      <c r="M49" s="7"/>
    </row>
    <row r="50" spans="1:13" x14ac:dyDescent="0.35">
      <c r="A50" s="7" t="s">
        <v>11</v>
      </c>
      <c r="B50" s="7" t="s">
        <v>73</v>
      </c>
      <c r="C50" s="7" t="s">
        <v>73</v>
      </c>
      <c r="D50" s="7"/>
      <c r="E50" s="7" t="s">
        <v>73</v>
      </c>
      <c r="F50" s="7" t="s">
        <v>72</v>
      </c>
      <c r="G50" s="7" t="s">
        <v>90</v>
      </c>
      <c r="H50" s="7" t="str">
        <f t="shared" si="2"/>
        <v>Spectacles</v>
      </c>
      <c r="I50" s="7" t="str">
        <f t="shared" si="3"/>
        <v>Spectacles</v>
      </c>
      <c r="J50" s="1">
        <f t="shared" si="4"/>
        <v>8</v>
      </c>
      <c r="K50" s="1" t="s">
        <v>27</v>
      </c>
      <c r="L50" s="7" t="s">
        <v>75</v>
      </c>
      <c r="M50" s="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0B63-E906-442B-99F0-BE9531901073}">
  <sheetPr codeName="Feuil1"/>
  <dimension ref="D2:W7"/>
  <sheetViews>
    <sheetView tabSelected="1" zoomScale="85" zoomScaleNormal="85" workbookViewId="0">
      <selection activeCell="I13" sqref="I13"/>
    </sheetView>
  </sheetViews>
  <sheetFormatPr baseColWidth="10" defaultRowHeight="14.5" x14ac:dyDescent="0.35"/>
  <cols>
    <col min="4" max="4" width="15.1796875" customWidth="1"/>
    <col min="10" max="14" width="4.26953125" customWidth="1"/>
    <col min="16" max="16" width="3.08984375" bestFit="1" customWidth="1"/>
    <col min="17" max="17" width="8.453125" bestFit="1" customWidth="1"/>
    <col min="18" max="18" width="2.7265625" bestFit="1" customWidth="1"/>
    <col min="19" max="19" width="11.453125" bestFit="1" customWidth="1"/>
    <col min="20" max="20" width="2.7265625" bestFit="1" customWidth="1"/>
    <col min="21" max="21" width="12.26953125" bestFit="1" customWidth="1"/>
    <col min="22" max="22" width="2.7265625" bestFit="1" customWidth="1"/>
    <col min="23" max="23" width="11.7265625" bestFit="1" customWidth="1"/>
  </cols>
  <sheetData>
    <row r="2" spans="4:23" x14ac:dyDescent="0.35">
      <c r="D2" t="s">
        <v>28</v>
      </c>
      <c r="E2" t="s">
        <v>96</v>
      </c>
      <c r="P2" t="s">
        <v>118</v>
      </c>
      <c r="Q2" t="s">
        <v>28</v>
      </c>
      <c r="R2" t="s">
        <v>118</v>
      </c>
      <c r="S2" t="s">
        <v>31</v>
      </c>
      <c r="T2" t="s">
        <v>118</v>
      </c>
      <c r="U2" t="s">
        <v>33</v>
      </c>
      <c r="V2" t="s">
        <v>118</v>
      </c>
      <c r="W2" t="s">
        <v>96</v>
      </c>
    </row>
    <row r="3" spans="4:23" x14ac:dyDescent="0.35">
      <c r="P3">
        <v>1</v>
      </c>
      <c r="Q3" t="s">
        <v>114</v>
      </c>
      <c r="R3">
        <v>1</v>
      </c>
      <c r="S3" t="s">
        <v>106</v>
      </c>
      <c r="T3">
        <v>1</v>
      </c>
      <c r="U3" t="s">
        <v>110</v>
      </c>
      <c r="V3">
        <v>1</v>
      </c>
      <c r="W3" t="s">
        <v>103</v>
      </c>
    </row>
    <row r="4" spans="4:23" x14ac:dyDescent="0.35">
      <c r="P4">
        <v>2</v>
      </c>
      <c r="Q4" t="s">
        <v>115</v>
      </c>
      <c r="R4">
        <v>2</v>
      </c>
      <c r="S4" t="s">
        <v>107</v>
      </c>
      <c r="T4">
        <v>2</v>
      </c>
      <c r="U4" t="s">
        <v>111</v>
      </c>
      <c r="V4">
        <v>2</v>
      </c>
      <c r="W4" t="s">
        <v>104</v>
      </c>
    </row>
    <row r="5" spans="4:23" x14ac:dyDescent="0.35">
      <c r="D5" t="s">
        <v>26</v>
      </c>
      <c r="E5" t="s">
        <v>30</v>
      </c>
      <c r="F5" t="s">
        <v>32</v>
      </c>
      <c r="G5" t="s">
        <v>35</v>
      </c>
      <c r="H5" t="s">
        <v>37</v>
      </c>
      <c r="I5" t="s">
        <v>41</v>
      </c>
      <c r="J5" t="s">
        <v>44</v>
      </c>
      <c r="P5">
        <v>3</v>
      </c>
      <c r="Q5" t="s">
        <v>116</v>
      </c>
      <c r="R5">
        <v>3</v>
      </c>
      <c r="S5" t="s">
        <v>108</v>
      </c>
      <c r="T5">
        <v>3</v>
      </c>
      <c r="U5" t="s">
        <v>112</v>
      </c>
      <c r="V5">
        <v>3</v>
      </c>
      <c r="W5" t="s">
        <v>105</v>
      </c>
    </row>
    <row r="6" spans="4:23" x14ac:dyDescent="0.35">
      <c r="P6">
        <v>52</v>
      </c>
      <c r="Q6" t="s">
        <v>117</v>
      </c>
      <c r="R6">
        <v>8</v>
      </c>
      <c r="S6" t="s">
        <v>109</v>
      </c>
      <c r="T6">
        <v>4</v>
      </c>
      <c r="U6" t="s">
        <v>113</v>
      </c>
    </row>
    <row r="7" spans="4:23" x14ac:dyDescent="0.35">
      <c r="D7" t="s">
        <v>25</v>
      </c>
      <c r="E7" t="s">
        <v>28</v>
      </c>
      <c r="F7" t="s">
        <v>31</v>
      </c>
      <c r="G7" t="s">
        <v>33</v>
      </c>
      <c r="H7" t="s">
        <v>36</v>
      </c>
      <c r="I7" t="s">
        <v>96</v>
      </c>
      <c r="J7" t="s">
        <v>43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A3339-365A-4070-8461-0432910BF916}">
  <sheetPr codeName="Feuil2"/>
  <dimension ref="A2:G3"/>
  <sheetViews>
    <sheetView workbookViewId="0">
      <selection activeCell="C9" sqref="C9"/>
    </sheetView>
  </sheetViews>
  <sheetFormatPr baseColWidth="10" defaultRowHeight="14.5" x14ac:dyDescent="0.35"/>
  <cols>
    <col min="2" max="2" width="17.90625" bestFit="1" customWidth="1"/>
    <col min="3" max="3" width="10.7265625" bestFit="1" customWidth="1"/>
  </cols>
  <sheetData>
    <row r="2" spans="1:7" x14ac:dyDescent="0.35">
      <c r="A2">
        <v>1</v>
      </c>
      <c r="B2">
        <v>1</v>
      </c>
      <c r="C2">
        <v>1</v>
      </c>
      <c r="D2">
        <v>2</v>
      </c>
      <c r="E2">
        <v>120</v>
      </c>
      <c r="F2">
        <v>1</v>
      </c>
      <c r="G2">
        <v>1</v>
      </c>
    </row>
    <row r="3" spans="1:7" x14ac:dyDescent="0.35">
      <c r="A3">
        <v>2</v>
      </c>
      <c r="B3">
        <v>2</v>
      </c>
      <c r="C3">
        <v>2</v>
      </c>
      <c r="D3">
        <v>4</v>
      </c>
      <c r="E3">
        <v>150</v>
      </c>
      <c r="F3">
        <v>3</v>
      </c>
      <c r="G3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8</vt:i4>
      </vt:variant>
    </vt:vector>
  </HeadingPairs>
  <TitlesOfParts>
    <vt:vector size="11" baseType="lpstr">
      <vt:lpstr>dashboard</vt:lpstr>
      <vt:lpstr>nav</vt:lpstr>
      <vt:lpstr>BD</vt:lpstr>
      <vt:lpstr>champs</vt:lpstr>
      <vt:lpstr>display</vt:lpstr>
      <vt:lpstr>liaisonID</vt:lpstr>
      <vt:lpstr>recherche</vt:lpstr>
      <vt:lpstr>startBD</vt:lpstr>
      <vt:lpstr>startHideBD</vt:lpstr>
      <vt:lpstr>startMatriceBD</vt:lpstr>
      <vt:lpstr>StartNomFeuille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Bordes</dc:creator>
  <cp:lastModifiedBy>Nicolas Bordes</cp:lastModifiedBy>
  <dcterms:created xsi:type="dcterms:W3CDTF">2023-12-21T14:25:57Z</dcterms:created>
  <dcterms:modified xsi:type="dcterms:W3CDTF">2023-12-30T15:13:18Z</dcterms:modified>
</cp:coreProperties>
</file>