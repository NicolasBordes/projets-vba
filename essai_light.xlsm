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65DDCDDD-14F6-46B6-B270-306B4DC55A86}" xr6:coauthVersionLast="47" xr6:coauthVersionMax="47" xr10:uidLastSave="{00000000-0000-0000-0000-000000000000}"/>
  <bookViews>
    <workbookView xWindow="-110" yWindow="-110" windowWidth="19420" windowHeight="10420" activeTab="1" xr2:uid="{34D3AF24-F68E-4D37-8163-A77139602F3F}"/>
  </bookViews>
  <sheets>
    <sheet name="dashboard" sheetId="3" r:id="rId1"/>
    <sheet name="nav" sheetId="1" r:id="rId2"/>
    <sheet name="BD" sheetId="2" r:id="rId3"/>
  </sheets>
  <functionGroups builtInGroupCount="19"/>
  <definedNames>
    <definedName name="champs">nav!$D$8</definedName>
    <definedName name="display">nav!$D$6</definedName>
    <definedName name="liaisonID">nav!$P$3</definedName>
    <definedName name="recherche">nav!$D$3</definedName>
    <definedName name="startBD">dashboard!$A$11</definedName>
    <definedName name="startHideBD">BD!$A$2</definedName>
    <definedName name="startMatriceBD">dashboard!$B$4</definedName>
    <definedName name="StartNomFeuille">dashboard!$B$7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3" l="1" a="1"/>
  <c r="U17" i="3" s="1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S17" i="3" s="1" a="1"/>
  <c r="S17" i="3" s="1"/>
  <c r="B3" i="3" a="1"/>
  <c r="I4" i="3" s="1"/>
  <c r="H5" i="3" s="1"/>
  <c r="J40" i="3" l="1"/>
  <c r="F4" i="3"/>
  <c r="E5" i="3" s="1"/>
  <c r="I21" i="3"/>
  <c r="I37" i="3"/>
  <c r="G4" i="3"/>
  <c r="F5" i="3" s="1"/>
  <c r="J21" i="3"/>
  <c r="I31" i="3"/>
  <c r="J37" i="3"/>
  <c r="I47" i="3"/>
  <c r="J17" i="3"/>
  <c r="I27" i="3"/>
  <c r="J38" i="3"/>
  <c r="J49" i="3"/>
  <c r="C4" i="3"/>
  <c r="B5" i="3" s="1"/>
  <c r="J18" i="3"/>
  <c r="J34" i="3"/>
  <c r="I39" i="3"/>
  <c r="J50" i="3"/>
  <c r="I23" i="3"/>
  <c r="I14" i="3"/>
  <c r="I18" i="3"/>
  <c r="J27" i="3"/>
  <c r="I30" i="3"/>
  <c r="I34" i="3"/>
  <c r="I38" i="3"/>
  <c r="I42" i="3"/>
  <c r="J43" i="3"/>
  <c r="I50" i="3"/>
  <c r="D4" i="3"/>
  <c r="C5" i="3" s="1"/>
  <c r="H4" i="3"/>
  <c r="G5" i="3" s="1"/>
  <c r="B3" i="3"/>
  <c r="I20" i="3" s="1"/>
  <c r="E4" i="3"/>
  <c r="D5" i="3" s="1"/>
  <c r="I46" i="3" l="1"/>
  <c r="J35" i="3"/>
  <c r="I26" i="3"/>
  <c r="I15" i="3"/>
  <c r="I25" i="3"/>
  <c r="I43" i="3"/>
  <c r="J22" i="3"/>
  <c r="J42" i="3"/>
  <c r="I24" i="3"/>
  <c r="J46" i="3"/>
  <c r="J19" i="3"/>
  <c r="J28" i="3"/>
  <c r="J24" i="3"/>
  <c r="J33" i="3"/>
  <c r="I49" i="3"/>
  <c r="I33" i="3"/>
  <c r="I17" i="3"/>
  <c r="J30" i="3"/>
  <c r="J44" i="3"/>
  <c r="I48" i="3"/>
  <c r="J45" i="3"/>
  <c r="J36" i="3"/>
  <c r="I32" i="3"/>
  <c r="J29" i="3"/>
  <c r="J20" i="3"/>
  <c r="I16" i="3"/>
  <c r="J13" i="3"/>
  <c r="I12" i="3"/>
  <c r="J48" i="3"/>
  <c r="I44" i="3"/>
  <c r="J41" i="3"/>
  <c r="J32" i="3"/>
  <c r="I28" i="3"/>
  <c r="J25" i="3"/>
  <c r="J16" i="3"/>
  <c r="J47" i="3"/>
  <c r="J39" i="3"/>
  <c r="J31" i="3"/>
  <c r="I22" i="3"/>
  <c r="I19" i="3"/>
  <c r="I41" i="3"/>
  <c r="J23" i="3"/>
  <c r="I45" i="3"/>
  <c r="I29" i="3"/>
  <c r="I13" i="3"/>
  <c r="I40" i="3"/>
  <c r="J26" i="3"/>
  <c r="J15" i="3"/>
  <c r="I35" i="3"/>
  <c r="J14" i="3"/>
  <c r="I36" i="3"/>
  <c r="J12" i="3"/>
  <c r="B4" i="3"/>
  <c r="J4" i="3" s="1" a="1"/>
  <c r="J4" i="3" s="1"/>
  <c r="I5" i="3" s="1"/>
  <c r="X17" i="3" l="1" a="1"/>
  <c r="X17" i="3" s="1"/>
  <c r="R17" i="3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<sst xmlns="http://schemas.openxmlformats.org/spreadsheetml/2006/main" count="285" uniqueCount="108">
  <si>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</si>
  <si>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</si>
  <si>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</si>
  <si>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</si>
  <si>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</si>
  <si>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</si>
  <si>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</si>
  <si>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</si>
  <si>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</si>
  <si>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</si>
  <si>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</si>
  <si>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</si>
  <si>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</si>
  <si>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</si>
  <si>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</si>
  <si>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</si>
  <si>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</si>
  <si>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</si>
  <si>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</si>
  <si>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</si>
  <si>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</si>
  <si>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</si>
  <si>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</si>
  <si>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</si>
  <si>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</si>
  <si>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</si>
  <si>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</si>
  <si>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</si>
  <si>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</si>
  <si>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</si>
  <si>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</si>
  <si>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</si>
  <si>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</si>
  <si>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</si>
  <si>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</si>
  <si>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</si>
  <si>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</si>
  <si>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</si>
  <si>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</si>
  <si>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</si>
  <si>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</si>
  <si>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</si>
  <si>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</si>
  <si>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</si>
  <si>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</si>
  <si>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</si>
  <si>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</si>
  <si>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</si>
  <si>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</si>
  <si>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</si>
  <si>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</si>
  <si>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</si>
  <si>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</si>
  <si>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</si>
  <si>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</si>
  <si>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</si>
  <si>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</si>
  <si>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</si>
  <si>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</si>
  <si>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</si>
  <si>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</si>
  <si>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</si>
  <si>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</si>
  <si>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</si>
  <si>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</si>
  <si>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</si>
  <si>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</si>
  <si>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</si>
  <si>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</si>
  <si>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</si>
  <si>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</si>
  <si>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</si>
  <si>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</si>
  <si>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</si>
  <si>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</si>
  <si>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</si>
  <si>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</si>
  <si>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</si>
  <si>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</si>
  <si>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</si>
  <si>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</si>
  <si>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</si>
  <si>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</si>
  <si>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</si>
  <si>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</si>
  <si>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</si>
  <si>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</si>
  <si>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</si>
  <si>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</si>
  <si>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</si>
  <si>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</si>
  <si>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</si>
  <si>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</si>
  <si>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</si>
  <si>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</si>
  <si>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</si>
  <si>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</si>
  <si>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</si>
  <si>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</si>
  <si>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</si>
  <si>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</si>
  <si>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</si>
  <si>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liaisonIdDisplay</t>
  </si>
  <si>
    <t>ID</t>
  </si>
  <si>
    <t>Aladin</t>
  </si>
  <si>
    <t>Pinocchio</t>
  </si>
  <si>
    <t>Chapichapo</t>
  </si>
  <si>
    <t>les misérables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</si>
</sst>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4</xdr:row>
      <xdr:rowOff>28575</xdr:rowOff>
    </xdr:from>
    <xdr:to>
      <xdr:col>2</xdr:col>
      <xdr:colOff>85725</xdr:colOff>
      <xdr:row>23</xdr:row>
      <xdr:rowOff>57150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504825" y="775634"/>
          <a:ext cx="1104900" cy="3577104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artistique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technique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 de représentation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Pièces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Rôles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Salariés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A3" workbookViewId="0">
      <pane ySplit="9" topLeftCell="A12" activePane="bottomLeft" state="frozen"/>
      <selection activeCell="A3" sqref="A3"/>
      <selection pane="bottomLeft" activeCell="A12" sqref="A12"/>
    </sheetView>
  </sheetViews>
  <sheetFormatPr baseColWidth="10" defaultRowHeight="14.5" x14ac:dyDescent="0.35"/>
  <cols>
    <col min="1" max="1" width="20.453125" style="1" bestFit="1" customWidth="1"/>
    <col min="2" max="2" width="22.453125" style="1" bestFit="1" customWidth="1"/>
    <col min="3" max="3" width="22.81640625" style="1" bestFit="1" customWidth="1"/>
    <col min="4" max="4" width="17.26953125" style="1" bestFit="1" customWidth="1"/>
    <col min="5" max="5" width="12.26953125" style="1" bestFit="1" customWidth="1"/>
    <col min="6" max="6" width="11.26953125" style="1" bestFit="1" customWidth="1"/>
    <col min="7" max="7" width="22" style="1" customWidth="1"/>
    <col min="8" max="8" width="20.453125" bestFit="1" customWidth="1"/>
    <col min="9" max="9" width="19.1796875" customWidth="1"/>
    <col min="10" max="10" width="13.54296875" bestFit="1" customWidth="1"/>
    <col min="11" max="11" width="7.453125" customWidth="1"/>
    <col min="12" max="12" width="15.453125" style="1" bestFit="1" customWidth="1"/>
    <col min="13" max="13" width="10.26953125" bestFit="1" customWidth="1"/>
    <col min="14" max="18" width="7.453125" customWidth="1"/>
    <col min="19" max="19" width="22.81640625" bestFit="1" customWidth="1"/>
    <col min="20" max="20" width="5.7265625" bestFit="1" customWidth="1"/>
    <col min="21" max="21" width="15.453125" bestFit="1" customWidth="1"/>
    <col min="22" max="22" width="18.453125" bestFit="1" customWidth="1"/>
    <col min="23" max="23" width="19.81640625" bestFit="1" customWidth="1"/>
  </cols>
  <sheetData>
    <row r="1" spans="1:25" hidden="1" x14ac:dyDescent="0.35"/>
    <row r="2" spans="1:25" hidden="1" x14ac:dyDescent="0.35">
      <c r="B2" s="2"/>
      <c r="C2" s="2"/>
      <c r="D2" s="2"/>
      <c r="E2" s="2"/>
      <c r="F2" s="2"/>
      <c r="G2" s="2"/>
      <c r="H2" s="3"/>
      <c r="I2" s="3"/>
      <c r="J2" s="3"/>
    </row>
    <row r="3" spans="1:25" x14ac:dyDescent="0.3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3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3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3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3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35">
      <c r="N8" s="4"/>
      <c r="P8" s="4"/>
      <c r="Q8" s="4"/>
    </row>
    <row r="9" spans="1:25" hidden="1" x14ac:dyDescent="0.35">
      <c r="N9" s="4"/>
      <c r="P9" s="4"/>
      <c r="Q9" s="4"/>
    </row>
    <row r="10" spans="1:25" hidden="1" x14ac:dyDescent="0.35">
      <c r="N10" s="4"/>
      <c r="P10" s="4"/>
      <c r="Q10" s="4"/>
    </row>
    <row r="11" spans="1:25" x14ac:dyDescent="0.3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L11" s="6" t="s">
        <v>102</v>
      </c>
      <c r="N11" s="4"/>
      <c r="P11" s="4"/>
      <c r="Q11" s="4"/>
    </row>
    <row r="12" spans="1:25" x14ac:dyDescent="0.3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 t="shared" ref="H12:H50" si="2">A12</f>
        <v>DistributionsArtistiques</v>
      </c>
      <c r="I12" s="7" t="str">
        <f t="shared" ref="I12:I50" si="3">HLOOKUP(H12,$B$3:$Z$6,4,FALSE)</f>
        <v>Distribution artistique</v>
      </c>
      <c r="J12" s="1">
        <f t="shared" ref="J12:J50" si="4">HLOOKUP(H12,$B$3:$Z$7,5,FALSE)</f>
        <v>1</v>
      </c>
      <c r="K12" s="1" t="s">
        <v>27</v>
      </c>
      <c r="M12" s="7"/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3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si="2"/>
        <v>DistributionsArtistiques</v>
      </c>
      <c r="I13" s="7" t="str">
        <f t="shared" si="3"/>
        <v>Distribution artistique</v>
      </c>
      <c r="J13" s="1">
        <f t="shared" si="4"/>
        <v>1</v>
      </c>
      <c r="K13" s="1" t="s">
        <v>27</v>
      </c>
      <c r="L13" s="1" t="s">
        <v>66</v>
      </c>
      <c r="M13" s="7"/>
      <c r="P13" s="4"/>
      <c r="Q13" s="4"/>
    </row>
    <row r="14" spans="1:25" x14ac:dyDescent="0.3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L14" s="1" t="s">
        <v>82</v>
      </c>
      <c r="M14" s="7"/>
      <c r="P14" s="4"/>
      <c r="Q14" s="4"/>
    </row>
    <row r="15" spans="1:25" x14ac:dyDescent="0.3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L15" s="1" t="s">
        <v>88</v>
      </c>
      <c r="M15" s="7"/>
      <c r="P15" s="4"/>
      <c r="Q15" s="4"/>
    </row>
    <row r="16" spans="1:25" x14ac:dyDescent="0.3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M16" s="7"/>
      <c r="P16" s="4"/>
      <c r="Q16" s="4"/>
      <c r="U16" s="6"/>
      <c r="V16" s="8" t="s">
        <v>39</v>
      </c>
      <c r="W16" s="8" t="s">
        <v>40</v>
      </c>
    </row>
    <row r="17" spans="1:24" x14ac:dyDescent="0.35">
      <c r="A17" s="7" t="s">
        <v>24</v>
      </c>
      <c r="B17" s="7" t="s">
        <v>96</v>
      </c>
      <c r="C17" s="7" t="s">
        <v>96</v>
      </c>
      <c r="D17" s="7" t="s">
        <v>96</v>
      </c>
      <c r="E17" s="7" t="s">
        <v>96</v>
      </c>
      <c r="F17" s="7" t="s">
        <v>11</v>
      </c>
      <c r="G17" s="7" t="s">
        <v>41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L17" s="1" t="s">
        <v>100</v>
      </c>
      <c r="M17" s="7"/>
      <c r="P17" s="4"/>
      <c r="Q17" s="4"/>
      <c r="R17" s="1" cm="1">
        <f t="array" ref="R17:R24">_xlfn.UNIQUE(_xlfn._xlws.FILTER(J12:J1000,J12:J1000&lt;&gt;0))</f>
        <v>1</v>
      </c>
      <c r="S17" t="str" cm="1">
        <f t="array" ref="S17:S24">_xlfn.UNIQUE(_xlfn._xlws.FILTER(H12:H1000,H12:H1000&lt;&gt;0))</f>
        <v>DistributionsArtistiques</v>
      </c>
      <c r="U17" s="6" t="str" cm="1">
        <f t="array" ref="U17:U27">TRANSPOSE(_xlfn.UNIQUE(_xlfn._xlws.FILTER(B11:P11,B11:P11&lt;&gt;"")))</f>
        <v>champs</v>
      </c>
      <c r="V17" t="s">
        <v>42</v>
      </c>
      <c r="W17" t="s">
        <v>16</v>
      </c>
      <c r="X17" t="str" cm="1">
        <f t="array" ref="X17:X24">_xlfn.UNIQUE(_xlfn._xlws.FILTER(I12:I1000,I12:I1000&lt;&gt;0))</f>
        <v>Distribution artistique</v>
      </c>
    </row>
    <row r="18" spans="1:24" x14ac:dyDescent="0.35">
      <c r="A18" s="7" t="s">
        <v>24</v>
      </c>
      <c r="B18" s="7" t="s">
        <v>43</v>
      </c>
      <c r="C18" s="7" t="s">
        <v>43</v>
      </c>
      <c r="D18" s="7"/>
      <c r="E18" s="7"/>
      <c r="F18" s="7"/>
      <c r="G18" s="7" t="s">
        <v>44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M18" s="7"/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45</v>
      </c>
      <c r="W18" t="s">
        <v>19</v>
      </c>
      <c r="X18" t="str">
        <v>Distribution technique</v>
      </c>
    </row>
    <row r="19" spans="1:24" x14ac:dyDescent="0.35">
      <c r="A19" s="7" t="s">
        <v>46</v>
      </c>
      <c r="B19" s="7" t="s">
        <v>47</v>
      </c>
      <c r="C19" s="7"/>
      <c r="D19" s="7"/>
      <c r="E19" s="7"/>
      <c r="F19" s="7"/>
      <c r="G19" s="7" t="s">
        <v>48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M19" s="7"/>
      <c r="P19" s="4"/>
      <c r="Q19" s="4"/>
      <c r="R19" s="1">
        <v>3</v>
      </c>
      <c r="S19" t="str">
        <v>Lieux</v>
      </c>
      <c r="U19" s="6" t="str">
        <v>recherche</v>
      </c>
      <c r="V19" t="s">
        <v>49</v>
      </c>
      <c r="W19" t="s">
        <v>14</v>
      </c>
      <c r="X19" t="str">
        <v>Lieux de représentation</v>
      </c>
    </row>
    <row r="20" spans="1:24" x14ac:dyDescent="0.35">
      <c r="A20" s="7" t="s">
        <v>46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 t="s">
        <v>66</v>
      </c>
      <c r="M20" s="7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50</v>
      </c>
      <c r="W20" t="s">
        <v>17</v>
      </c>
      <c r="X20" t="str">
        <v>Pièces</v>
      </c>
    </row>
    <row r="21" spans="1:24" x14ac:dyDescent="0.35">
      <c r="A21" s="7" t="s">
        <v>46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L21" s="1" t="s">
        <v>82</v>
      </c>
      <c r="M21" s="7"/>
      <c r="P21" s="4"/>
      <c r="Q21" s="4"/>
      <c r="R21" s="1">
        <v>5</v>
      </c>
      <c r="S21" t="str">
        <v>Professions</v>
      </c>
      <c r="U21" s="6" t="str">
        <v>tableID</v>
      </c>
      <c r="V21" t="s">
        <v>52</v>
      </c>
      <c r="X21" t="str">
        <v>Professions</v>
      </c>
    </row>
    <row r="22" spans="1:24" x14ac:dyDescent="0.35">
      <c r="A22" s="7" t="s">
        <v>46</v>
      </c>
      <c r="B22" s="7" t="s">
        <v>54</v>
      </c>
      <c r="C22" s="7" t="s">
        <v>54</v>
      </c>
      <c r="D22" s="7"/>
      <c r="E22" s="7"/>
      <c r="F22" s="7"/>
      <c r="G22" s="7" t="s">
        <v>55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56</v>
      </c>
      <c r="M22" s="7"/>
      <c r="P22" s="4"/>
      <c r="Q22" s="4"/>
      <c r="R22" s="1">
        <v>6</v>
      </c>
      <c r="S22" t="str">
        <v>Roles</v>
      </c>
      <c r="U22" s="6" t="str">
        <v>display</v>
      </c>
      <c r="V22" t="s">
        <v>51</v>
      </c>
      <c r="X22" t="str">
        <v>Rôles</v>
      </c>
    </row>
    <row r="23" spans="1:24" x14ac:dyDescent="0.35">
      <c r="A23" s="7" t="s">
        <v>46</v>
      </c>
      <c r="B23" s="7" t="s">
        <v>58</v>
      </c>
      <c r="C23" s="7" t="s">
        <v>58</v>
      </c>
      <c r="D23" s="7"/>
      <c r="E23" s="7"/>
      <c r="F23" s="7"/>
      <c r="G23" s="7" t="s">
        <v>59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60</v>
      </c>
      <c r="M23" s="7"/>
      <c r="P23" s="4"/>
      <c r="Q23" s="4"/>
      <c r="R23" s="1">
        <v>7</v>
      </c>
      <c r="S23" t="str">
        <v>Salaries</v>
      </c>
      <c r="U23" s="6" t="str">
        <v>tableBD</v>
      </c>
      <c r="V23" t="s">
        <v>57</v>
      </c>
      <c r="X23" t="str">
        <v>Salariés</v>
      </c>
    </row>
    <row r="24" spans="1:24" x14ac:dyDescent="0.35">
      <c r="A24" s="7" t="s">
        <v>46</v>
      </c>
      <c r="B24" s="7" t="s">
        <v>96</v>
      </c>
      <c r="C24" s="7" t="s">
        <v>96</v>
      </c>
      <c r="D24" s="7" t="s">
        <v>96</v>
      </c>
      <c r="E24" s="7" t="s">
        <v>96</v>
      </c>
      <c r="F24" s="7" t="s">
        <v>11</v>
      </c>
      <c r="G24" s="7" t="s">
        <v>41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L24" s="1" t="s">
        <v>100</v>
      </c>
      <c r="M24" s="7"/>
      <c r="P24" s="4"/>
      <c r="Q24" s="4"/>
      <c r="R24" s="1">
        <v>8</v>
      </c>
      <c r="S24" t="str">
        <v>Spectacles</v>
      </c>
      <c r="U24" s="6" t="str">
        <v>tableDisplay</v>
      </c>
      <c r="V24" t="s">
        <v>61</v>
      </c>
      <c r="X24" t="str">
        <v>Spectacles</v>
      </c>
    </row>
    <row r="25" spans="1:24" x14ac:dyDescent="0.35">
      <c r="A25" s="7" t="s">
        <v>62</v>
      </c>
      <c r="B25" s="7" t="s">
        <v>63</v>
      </c>
      <c r="C25" s="7"/>
      <c r="D25" s="7"/>
      <c r="E25" s="7"/>
      <c r="F25" s="7"/>
      <c r="G25" s="7" t="s">
        <v>64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M25" s="7"/>
      <c r="P25" s="4"/>
      <c r="Q25" s="4"/>
      <c r="U25" s="6" t="str">
        <v>feuille</v>
      </c>
      <c r="V25" t="s">
        <v>65</v>
      </c>
    </row>
    <row r="26" spans="1:24" x14ac:dyDescent="0.35">
      <c r="A26" s="7" t="s">
        <v>62</v>
      </c>
      <c r="B26" s="7" t="s">
        <v>66</v>
      </c>
      <c r="C26" s="7" t="s">
        <v>66</v>
      </c>
      <c r="D26" s="7" t="s">
        <v>66</v>
      </c>
      <c r="E26" s="7"/>
      <c r="F26" s="7"/>
      <c r="G26" s="7" t="s">
        <v>67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68</v>
      </c>
      <c r="M26" s="7"/>
      <c r="P26" s="4"/>
      <c r="Q26" s="4"/>
      <c r="U26" s="6" t="str">
        <v>regX</v>
      </c>
      <c r="V26" t="s">
        <v>53</v>
      </c>
    </row>
    <row r="27" spans="1:24" x14ac:dyDescent="0.35">
      <c r="A27" s="7" t="s">
        <v>62</v>
      </c>
      <c r="B27" s="7" t="s">
        <v>69</v>
      </c>
      <c r="C27" s="7" t="s">
        <v>69</v>
      </c>
      <c r="D27" s="7"/>
      <c r="E27" s="7"/>
      <c r="F27" s="7"/>
      <c r="G27" s="7" t="s">
        <v>69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68</v>
      </c>
      <c r="M27" s="7"/>
      <c r="P27" s="4"/>
      <c r="Q27" s="4"/>
      <c r="U27" s="9" t="str">
        <v>liaisonIdDisplay</v>
      </c>
    </row>
    <row r="28" spans="1:24" x14ac:dyDescent="0.35">
      <c r="A28" s="7" t="s">
        <v>62</v>
      </c>
      <c r="B28" s="7" t="s">
        <v>70</v>
      </c>
      <c r="C28" s="7" t="s">
        <v>70</v>
      </c>
      <c r="D28" s="7"/>
      <c r="E28" s="7"/>
      <c r="F28" s="7"/>
      <c r="G28" s="7" t="s">
        <v>70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68</v>
      </c>
      <c r="M28" s="7"/>
      <c r="P28" s="4"/>
      <c r="Q28" s="4"/>
    </row>
    <row r="29" spans="1:24" x14ac:dyDescent="0.35">
      <c r="A29" s="7" t="s">
        <v>62</v>
      </c>
      <c r="B29" s="7" t="s">
        <v>71</v>
      </c>
      <c r="C29" s="7" t="s">
        <v>71</v>
      </c>
      <c r="D29" s="7"/>
      <c r="E29" s="7"/>
      <c r="F29" s="7"/>
      <c r="G29" s="7" t="s">
        <v>71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68</v>
      </c>
      <c r="M29" s="7"/>
    </row>
    <row r="30" spans="1:24" x14ac:dyDescent="0.35">
      <c r="A30" s="7" t="s">
        <v>72</v>
      </c>
      <c r="B30" s="7" t="s">
        <v>73</v>
      </c>
      <c r="C30" s="7" t="s">
        <v>73</v>
      </c>
      <c r="D30" s="7"/>
      <c r="E30" s="7"/>
      <c r="F30" s="7" t="s">
        <v>72</v>
      </c>
      <c r="G30" s="7" t="s">
        <v>74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  <c r="M30" s="7"/>
    </row>
    <row r="31" spans="1:24" x14ac:dyDescent="0.35">
      <c r="A31" s="7" t="s">
        <v>72</v>
      </c>
      <c r="B31" s="7" t="s">
        <v>75</v>
      </c>
      <c r="C31" s="7" t="s">
        <v>75</v>
      </c>
      <c r="D31" s="7" t="s">
        <v>75</v>
      </c>
      <c r="E31" s="7"/>
      <c r="F31" s="7"/>
      <c r="G31" s="7" t="s">
        <v>76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68</v>
      </c>
      <c r="M31" s="7"/>
    </row>
    <row r="32" spans="1:24" x14ac:dyDescent="0.35">
      <c r="A32" s="7" t="s">
        <v>72</v>
      </c>
      <c r="B32" s="7" t="s">
        <v>77</v>
      </c>
      <c r="C32" s="7" t="s">
        <v>77</v>
      </c>
      <c r="D32" s="7"/>
      <c r="E32" s="7"/>
      <c r="F32" s="7"/>
      <c r="G32" s="7" t="s">
        <v>78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68</v>
      </c>
      <c r="M32" s="7"/>
    </row>
    <row r="33" spans="1:13" x14ac:dyDescent="0.35">
      <c r="A33" s="7" t="s">
        <v>72</v>
      </c>
      <c r="B33" s="7" t="s">
        <v>79</v>
      </c>
      <c r="C33" s="7" t="s">
        <v>79</v>
      </c>
      <c r="D33" s="7" t="s">
        <v>79</v>
      </c>
      <c r="E33" s="7"/>
      <c r="F33" s="7"/>
      <c r="G33" s="7" t="s">
        <v>79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68</v>
      </c>
      <c r="M33" s="7"/>
    </row>
    <row r="34" spans="1:13" x14ac:dyDescent="0.35">
      <c r="A34" s="7" t="s">
        <v>72</v>
      </c>
      <c r="B34" s="7" t="s">
        <v>80</v>
      </c>
      <c r="C34" s="7" t="s">
        <v>80</v>
      </c>
      <c r="D34" s="7"/>
      <c r="E34" s="7"/>
      <c r="F34" s="7"/>
      <c r="G34" s="7" t="s">
        <v>80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68</v>
      </c>
      <c r="M34" s="7"/>
    </row>
    <row r="35" spans="1:13" x14ac:dyDescent="0.35">
      <c r="A35" s="7" t="s">
        <v>8</v>
      </c>
      <c r="B35" s="7" t="s">
        <v>31</v>
      </c>
      <c r="C35" s="7"/>
      <c r="D35" s="7"/>
      <c r="E35" s="7"/>
      <c r="F35" s="7"/>
      <c r="G35" s="7" t="s">
        <v>81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  <c r="M35" s="7"/>
    </row>
    <row r="36" spans="1:13" x14ac:dyDescent="0.35">
      <c r="A36" s="7" t="s">
        <v>8</v>
      </c>
      <c r="B36" s="7" t="s">
        <v>82</v>
      </c>
      <c r="C36" s="7" t="s">
        <v>82</v>
      </c>
      <c r="D36" s="7" t="s">
        <v>82</v>
      </c>
      <c r="E36" s="7"/>
      <c r="F36" s="7"/>
      <c r="G36" s="7" t="s">
        <v>83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68</v>
      </c>
      <c r="M36" s="7"/>
    </row>
    <row r="37" spans="1:13" x14ac:dyDescent="0.35">
      <c r="A37" s="7" t="s">
        <v>8</v>
      </c>
      <c r="B37" s="7" t="s">
        <v>84</v>
      </c>
      <c r="C37" s="7" t="s">
        <v>84</v>
      </c>
      <c r="D37" s="7"/>
      <c r="E37" s="7"/>
      <c r="F37" s="7"/>
      <c r="G37" s="7" t="s">
        <v>84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85</v>
      </c>
      <c r="M37" s="7"/>
    </row>
    <row r="38" spans="1:13" x14ac:dyDescent="0.35">
      <c r="A38" s="7" t="s">
        <v>8</v>
      </c>
      <c r="B38" s="7" t="s">
        <v>86</v>
      </c>
      <c r="C38" s="7" t="s">
        <v>86</v>
      </c>
      <c r="D38" s="7"/>
      <c r="E38" s="7"/>
      <c r="F38" s="7"/>
      <c r="G38" s="7" t="s">
        <v>86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85</v>
      </c>
      <c r="M38" s="7"/>
    </row>
    <row r="39" spans="1:13" x14ac:dyDescent="0.35">
      <c r="A39" s="7" t="s">
        <v>34</v>
      </c>
      <c r="B39" s="7" t="s">
        <v>33</v>
      </c>
      <c r="C39" s="7"/>
      <c r="D39" s="7"/>
      <c r="E39" s="7"/>
      <c r="F39" s="7"/>
      <c r="G39" s="7" t="s">
        <v>87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  <c r="M39" s="7"/>
    </row>
    <row r="40" spans="1:13" x14ac:dyDescent="0.35">
      <c r="A40" s="7" t="s">
        <v>34</v>
      </c>
      <c r="B40" s="7" t="s">
        <v>88</v>
      </c>
      <c r="C40" s="7" t="s">
        <v>88</v>
      </c>
      <c r="D40" s="7" t="s">
        <v>88</v>
      </c>
      <c r="E40" s="7"/>
      <c r="F40" s="7"/>
      <c r="G40" s="7" t="s">
        <v>89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68</v>
      </c>
      <c r="M40" s="7"/>
    </row>
    <row r="41" spans="1:13" x14ac:dyDescent="0.35">
      <c r="A41" s="7" t="s">
        <v>34</v>
      </c>
      <c r="B41" s="7" t="s">
        <v>73</v>
      </c>
      <c r="C41" s="7" t="s">
        <v>73</v>
      </c>
      <c r="D41" s="7" t="s">
        <v>73</v>
      </c>
      <c r="E41" s="7" t="s">
        <v>73</v>
      </c>
      <c r="F41" s="7" t="s">
        <v>72</v>
      </c>
      <c r="G41" s="7" t="s">
        <v>90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  <c r="L41" s="7" t="s">
        <v>75</v>
      </c>
      <c r="M41" s="7"/>
    </row>
    <row r="42" spans="1:13" x14ac:dyDescent="0.35">
      <c r="A42" s="7" t="s">
        <v>29</v>
      </c>
      <c r="B42" s="7" t="s">
        <v>28</v>
      </c>
      <c r="C42" s="7"/>
      <c r="D42" s="7"/>
      <c r="E42" s="7"/>
      <c r="F42" s="7"/>
      <c r="G42" s="7" t="s">
        <v>91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  <c r="M42" s="7"/>
    </row>
    <row r="43" spans="1:13" x14ac:dyDescent="0.35">
      <c r="A43" s="7" t="s">
        <v>29</v>
      </c>
      <c r="B43" s="7" t="s">
        <v>92</v>
      </c>
      <c r="C43" s="7" t="s">
        <v>92</v>
      </c>
      <c r="D43" s="7"/>
      <c r="E43" s="7"/>
      <c r="F43" s="7"/>
      <c r="G43" s="7" t="s">
        <v>92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68</v>
      </c>
      <c r="M43" s="7"/>
    </row>
    <row r="44" spans="1:13" x14ac:dyDescent="0.35">
      <c r="A44" s="7" t="s">
        <v>29</v>
      </c>
      <c r="B44" s="7" t="s">
        <v>66</v>
      </c>
      <c r="C44" s="7" t="s">
        <v>66</v>
      </c>
      <c r="D44" s="7" t="s">
        <v>66</v>
      </c>
      <c r="E44" s="7"/>
      <c r="F44" s="7"/>
      <c r="G44" s="7" t="s">
        <v>66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68</v>
      </c>
      <c r="M44" s="7"/>
    </row>
    <row r="45" spans="1:13" x14ac:dyDescent="0.35">
      <c r="A45" s="7" t="s">
        <v>29</v>
      </c>
      <c r="B45" s="7" t="s">
        <v>93</v>
      </c>
      <c r="C45" s="7" t="s">
        <v>93</v>
      </c>
      <c r="D45" s="7" t="s">
        <v>93</v>
      </c>
      <c r="E45" s="7"/>
      <c r="F45" s="7"/>
      <c r="G45" s="7" t="s">
        <v>93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68</v>
      </c>
      <c r="M45" s="7"/>
    </row>
    <row r="46" spans="1:13" x14ac:dyDescent="0.35">
      <c r="A46" s="7" t="s">
        <v>29</v>
      </c>
      <c r="B46" s="7" t="s">
        <v>94</v>
      </c>
      <c r="C46" s="7" t="s">
        <v>94</v>
      </c>
      <c r="D46" s="7"/>
      <c r="E46" s="7"/>
      <c r="F46" s="7"/>
      <c r="G46" s="7" t="s">
        <v>94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95</v>
      </c>
      <c r="M46" s="7"/>
    </row>
    <row r="47" spans="1:13" x14ac:dyDescent="0.35">
      <c r="A47" s="7" t="s">
        <v>11</v>
      </c>
      <c r="B47" s="7" t="s">
        <v>96</v>
      </c>
      <c r="C47" s="7"/>
      <c r="D47" s="7"/>
      <c r="E47" s="7"/>
      <c r="F47" s="7"/>
      <c r="G47" s="7" t="s">
        <v>97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  <c r="M47" s="7"/>
    </row>
    <row r="48" spans="1:13" x14ac:dyDescent="0.35">
      <c r="A48" s="7" t="s">
        <v>11</v>
      </c>
      <c r="B48" s="7" t="s">
        <v>98</v>
      </c>
      <c r="C48" s="7" t="s">
        <v>98</v>
      </c>
      <c r="D48" s="7"/>
      <c r="E48" s="7"/>
      <c r="F48" s="7"/>
      <c r="G48" s="7" t="s">
        <v>99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68</v>
      </c>
      <c r="M48" s="7"/>
    </row>
    <row r="49" spans="1:13" x14ac:dyDescent="0.35">
      <c r="A49" s="7" t="s">
        <v>11</v>
      </c>
      <c r="B49" s="7" t="s">
        <v>100</v>
      </c>
      <c r="C49" s="7" t="s">
        <v>100</v>
      </c>
      <c r="D49" s="7" t="s">
        <v>100</v>
      </c>
      <c r="E49" s="7"/>
      <c r="F49" s="7"/>
      <c r="G49" s="7" t="s">
        <v>101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68</v>
      </c>
      <c r="M49" s="7"/>
    </row>
    <row r="50" spans="1:13" x14ac:dyDescent="0.35">
      <c r="A50" s="7" t="s">
        <v>11</v>
      </c>
      <c r="B50" s="7" t="s">
        <v>73</v>
      </c>
      <c r="C50" s="7" t="s">
        <v>73</v>
      </c>
      <c r="D50" s="7"/>
      <c r="E50" s="7" t="s">
        <v>73</v>
      </c>
      <c r="F50" s="7" t="s">
        <v>72</v>
      </c>
      <c r="G50" s="7" t="s">
        <v>90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  <c r="L50" s="7" t="s">
        <v>75</v>
      </c>
      <c r="M5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D2:Q7"/>
  <sheetViews>
    <sheetView tabSelected="1" topLeftCell="A4" zoomScale="85" zoomScaleNormal="85" workbookViewId="0">
      <selection activeCell="J12" sqref="J12"/>
    </sheetView>
  </sheetViews>
  <sheetFormatPr baseColWidth="10" defaultRowHeight="14.5" x14ac:dyDescent="0.35"/>
  <cols>
    <col min="4" max="4" width="15.1796875" customWidth="1"/>
    <col min="10" max="14" width="4.26953125" customWidth="1"/>
    <col min="16" max="16" width="3.08984375" bestFit="1" customWidth="1"/>
    <col min="17" max="17" width="8.453125" bestFit="1" customWidth="1"/>
    <col min="18" max="18" width="2.7265625" bestFit="1" customWidth="1"/>
    <col min="19" max="19" width="11.453125" bestFit="1" customWidth="1"/>
    <col min="20" max="20" width="2.7265625" bestFit="1" customWidth="1"/>
    <col min="21" max="21" width="12.26953125" bestFit="1" customWidth="1"/>
    <col min="22" max="22" width="2.7265625" bestFit="1" customWidth="1"/>
    <col min="23" max="23" width="11.7265625" bestFit="1" customWidth="1"/>
  </cols>
  <sheetData>
    <row r="2" spans="4:17" x14ac:dyDescent="0.35">
      <c r="D2" t="s">
        <v>88</v>
      </c>
      <c r="E2" t="s">
        <v>73</v>
      </c>
      <c r="P2" t="s">
        <v>103</v>
      </c>
      <c r="Q2" t="s">
        <v>73</v>
      </c>
    </row>
    <row r="3" spans="4:17" x14ac:dyDescent="0.35">
      <c r="P3">
        <v>1</v>
      </c>
      <c r="Q3" t="s">
        <v>104</v>
      </c>
    </row>
    <row r="4" spans="4:17" x14ac:dyDescent="0.35">
      <c r="P4">
        <v>2</v>
      </c>
      <c r="Q4" t="s">
        <v>105</v>
      </c>
    </row>
    <row r="5" spans="4:17" x14ac:dyDescent="0.35">
      <c r="D5" t="s">
        <v>87</v>
      </c>
      <c r="E5" t="s">
        <v>89</v>
      </c>
      <c r="F5" t="s">
        <v>90</v>
      </c>
      <c r="P5">
        <v>6</v>
      </c>
      <c r="Q5" t="s">
        <v>106</v>
      </c>
    </row>
    <row r="6" spans="4:17" x14ac:dyDescent="0.35">
      <c r="P6">
        <v>51</v>
      </c>
      <c r="Q6" t="s">
        <v>107</v>
      </c>
    </row>
    <row r="7" spans="4:17" x14ac:dyDescent="0.35">
      <c r="D7" t="s">
        <v>33</v>
      </c>
      <c r="E7" t="s">
        <v>88</v>
      </c>
      <c r="F7" t="s">
        <v>73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1"/>
  <sheetViews>
    <sheetView workbookViewId="0">
      <selection activeCell="C4" sqref="C4"/>
    </sheetView>
  </sheetViews>
  <sheetFormatPr baseColWidth="10" defaultRowHeight="14.5" x14ac:dyDescent="0.35"/>
  <cols>
    <col min="2" max="2" width="17.90625" bestFit="1" customWidth="1"/>
    <col min="3" max="3" width="10.726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dashboard</vt:lpstr>
      <vt:lpstr>nav</vt:lpstr>
      <vt:lpstr>BD</vt:lpstr>
      <vt:lpstr>champs</vt:lpstr>
      <vt:lpstr>display</vt:lpstr>
      <vt:lpstr>liaisonID</vt:lpstr>
      <vt:lpstr>recherche</vt:lpstr>
      <vt:lpstr>startBD</vt:lpstr>
      <vt:lpstr>startHideBD</vt:lpstr>
      <vt:lpstr>startMatriceBD</vt:lpstr>
      <vt:lpstr>StartNomFeuille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2023-12-30T22:51:02Z</dcterms:modified>
</cp:coreProperties>
</file>