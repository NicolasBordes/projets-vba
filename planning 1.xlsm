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1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FC5A7709-78DA-4336-AD72-06EF801EE29C}" xr6:coauthVersionLast="47" xr6:coauthVersionMax="47" xr10:uidLastSave="{00000000-0000-0000-0000-000000000000}"/>
  <bookViews>
    <workbookView xWindow="-120" yWindow="-120" windowWidth="25440" windowHeight="15390" tabRatio="756" activeTab="7" xr2:uid="{9A58E7EF-F0C6-4A60-94C0-A9D7EEE9FB0D}"/>
  </bookViews>
  <sheets>
    <sheet name="taches" sheetId="1" r:id="rId1"/>
    <sheet name="events" sheetId="2" r:id="rId2"/>
    <sheet name="salaries" sheetId="3" r:id="rId3"/>
    <sheet name="analytiques" sheetId="4" r:id="rId4"/>
    <sheet name="listes" sheetId="6" r:id="rId5"/>
    <sheet name="professions" sheetId="5" r:id="rId6"/>
    <sheet name="planning" sheetId="8" r:id="rId7"/>
    <sheet name="formDB" sheetId="10" r:id="rId8"/>
    <sheet name="programmation" sheetId="9" r:id="rId9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8" l="1"/>
  <c r="C9" i="8"/>
  <c r="K9" i="8"/>
  <c r="B10" i="8"/>
  <c r="C10" i="8"/>
  <c r="K10" i="8"/>
  <c r="B11" i="8"/>
  <c r="C11" i="8"/>
  <c r="K11" i="8"/>
  <c r="B12" i="8"/>
  <c r="C12" i="8"/>
  <c r="K12" i="8"/>
  <c r="B13" i="8"/>
  <c r="C13" i="8"/>
  <c r="K13" i="8"/>
  <c r="B14" i="8"/>
  <c r="C14" i="8"/>
  <c r="K14" i="8"/>
  <c r="B15" i="8"/>
  <c r="C15" i="8"/>
  <c r="K15" i="8"/>
  <c r="C8" i="8"/>
  <c r="B8" i="8"/>
  <c r="K8" i="8"/>
</calcChain>
</file>

<file path=xl/sharedStrings.xml><?xml version="1.0" encoding="utf-8"?>
<sst xmlns="http://schemas.openxmlformats.org/spreadsheetml/2006/main" count="279" uniqueCount="154">
  <si>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</si>
  <si>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</si>
  <si>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</si>
  <si>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</si>
  <si>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</si>
  <si>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</si>
  <si>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</si>
  <si>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</si>
  <si>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</si>
  <si>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</si>
  <si>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</si>
  <si>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</si>
  <si>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</si>
  <si>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</si>
  <si>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</si>
  <si>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</si>
  <si>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</si>
  <si>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</si>
  <si>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</si>
  <si>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</si>
  <si>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</si>
  <si>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</si>
  <si>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</si>
  <si>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</si>
  <si>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</si>
  <si>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</si>
  <si>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</si>
  <si>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</si>
  <si>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</si>
  <si>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</si>
  <si>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</si>
  <si>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</si>
  <si>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</si>
  <si>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</si>
  <si>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</si>
  <si>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</si>
  <si>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</si>
  <si>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</si>
  <si>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</si>
  <si>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</si>
  <si>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</si>
  <si>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</si>
  <si>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</si>
  <si>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</si>
  <si>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</si>
  <si>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</si>
  <si>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</si>
  <si>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</si>
  <si>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</si>
  <si>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</si>
  <si>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</si>
  <si>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</si>
  <si>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</si>
  <si>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</si>
  <si>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</si>
  <si>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</si>
  <si>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</si>
  <si>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</si>
  <si>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</si>
  <si>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</si>
  <si>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</si>
  <si>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</si>
  <si>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</si>
  <si>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</si>
  <si>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</si>
  <si>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</si>
  <si>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</si>
  <si>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</si>
  <si>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</si>
  <si>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</si>
  <si>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</si>
  <si>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</si>
  <si>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</si>
  <si>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</si>
  <si>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</si>
  <si>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</si>
  <si>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</si>
  <si>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</si>
  <si>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</si>
  <si>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</si>
  <si>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</si>
  <si>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</si>
  <si>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</si>
  <si>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</si>
  <si>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</si>
  <si>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</si>
  <si>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</si>
  <si>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</si>
  <si>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</si>
  <si>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</si>
  <si>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</si>
  <si>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</si>
  <si>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</si>
  <si>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</si>
  <si>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</si>
  <si>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</si>
  <si>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</si>
  <si>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</si>
  <si>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</si>
  <si>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</si>
  <si>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</si>
  <si>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</si>
  <si>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taux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</si>
  <si>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</si>
  <si>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</si>
  <si>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</si>
  <si>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</si>
  <si>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</si>
  <si>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</si>
  <si>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</si>
  <si>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</si>
  <si>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</si>
  <si>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</si>
  <si>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</si>
  <si>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</si>
  <si>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</si>
  <si>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</si>
  <si>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</si>
  <si>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</si>
  <si>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début</t>
  </si>
  <si>
    <t>fin</t>
  </si>
  <si>
    <t>L</t>
  </si>
  <si>
    <t>M</t>
  </si>
  <si>
    <t>Me</t>
  </si>
  <si>
    <t>J</t>
  </si>
  <si>
    <t>V</t>
  </si>
  <si>
    <t>S</t>
  </si>
  <si>
    <t>D</t>
  </si>
  <si>
    <t>ADF</t>
  </si>
  <si>
    <t>à définir</t>
  </si>
  <si>
    <t>--</t>
  </si>
  <si>
    <t>ID</t>
  </si>
  <si>
    <t>Firstname</t>
  </si>
  <si>
    <t>Lastname</t>
  </si>
  <si>
    <t>Country</t>
  </si>
  <si>
    <t>Job Status</t>
  </si>
  <si>
    <t>Department</t>
  </si>
  <si>
    <t>Morales</t>
  </si>
  <si>
    <t>John</t>
  </si>
  <si>
    <t>Do</t>
  </si>
  <si>
    <t>Eric</t>
  </si>
  <si>
    <t>Be</t>
  </si>
  <si>
    <t>Titi</t>
  </si>
  <si>
    <t>The Cat</t>
  </si>
  <si>
    <t>USA</t>
  </si>
  <si>
    <t>France</t>
  </si>
  <si>
    <t>Full-time</t>
  </si>
  <si>
    <t>Part-time</t>
  </si>
  <si>
    <t>HR</t>
  </si>
  <si>
    <t>IT</t>
  </si>
  <si>
    <t>marketing</t>
  </si>
  <si>
    <t>The Bird</t>
  </si>
  <si>
    <t>cyber</t>
  </si>
  <si>
    <t>Gros Minet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</si>
</sst>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38"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118180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9230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196850</xdr:colOff>
      <xdr:row>0</xdr:row>
      <xdr:rowOff>0</xdr:rowOff>
    </xdr:from>
    <xdr:to>
      <xdr:col>6</xdr:col>
      <xdr:colOff>755650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806450</xdr:colOff>
      <xdr:row>0</xdr:row>
      <xdr:rowOff>6350</xdr:rowOff>
    </xdr:from>
    <xdr:to>
      <xdr:col>16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350668-0603-4C5C-8057-1BE159AA5341}" name="Tableau3" displayName="Tableau3" ref="A1:E7" totalsRowShown="0" headerRowDxfId="37" dataDxfId="36">
  <tableColumns count="5">
    <tableColumn id="1" xr3:uid="{1CEC58C0-2F4D-4F45-A3E6-EE7C4266E86B}" name="code" dataDxfId="35"/>
    <tableColumn id="2" xr3:uid="{23E09786-A6A3-4024-B30E-72FEFFCD2E37}" name="nom" dataDxfId="34"/>
    <tableColumn id="3" xr3:uid="{A2ECC531-B559-4B99-98AF-7731E629F81C}" name="prénom" dataDxfId="33"/>
    <tableColumn id="4" xr3:uid="{0A54DE1C-DFAD-4B21-9197-A0268B201232}" name="alias" dataDxfId="32"/>
    <tableColumn id="5" xr3:uid="{3509633F-B94C-48BF-BAC1-58BC692700B9}" name="taux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5" totalsRowShown="0" headerRowDxfId="30" dataDxfId="29">
  <autoFilter ref="A7:L15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5">
    <sortCondition ref="A8:A15"/>
  </sortState>
  <tableColumns count="12">
    <tableColumn id="1" xr3:uid="{2B660481-A11C-4286-95E2-E9B51F9A6980}" name="date" dataDxfId="28"/>
    <tableColumn id="10" xr3:uid="{41242497-3242-4A0A-8BEA-21C6287245E4}" name="mois" dataDxfId="27">
      <calculatedColumnFormula>MONTH(Tableau4[[#This Row],[date]])</calculatedColumnFormula>
    </tableColumn>
    <tableColumn id="11" xr3:uid="{99BCCB0F-D688-47F5-A113-8AE186033A48}" name="année" dataDxfId="26">
      <calculatedColumnFormula>YEAR(Tableau4[[#This Row],[date]])</calculatedColumnFormula>
    </tableColumn>
    <tableColumn id="2" xr3:uid="{A1FD7652-464C-437E-9829-4375FB383DE3}" name="manifestation" dataDxfId="25"/>
    <tableColumn id="3" xr3:uid="{7F66E703-E93C-4150-A781-8C9B945517DB}" name="salarié" dataDxfId="24"/>
    <tableColumn id="4" xr3:uid="{1F0D0237-1CFD-4C7D-9258-5BB7ABC3639E}" name="profession" dataDxfId="23"/>
    <tableColumn id="5" xr3:uid="{3B15B917-6CEA-4CF9-824C-B6A9F91D35C0}" name="tâche" dataDxfId="22"/>
    <tableColumn id="6" xr3:uid="{EC10FB46-9C09-44FC-A0D8-87B8E8465DB6}" name="in" dataDxfId="21"/>
    <tableColumn id="7" xr3:uid="{D7C49B12-72E1-477F-9858-A9B496E5784E}" name="out" dataDxfId="20"/>
    <tableColumn id="8" xr3:uid="{D772B211-1156-46FA-B991-382DECB8CD93}" name="pause" dataDxfId="19"/>
    <tableColumn id="9" xr3:uid="{E07BFA6A-6B71-4633-BD91-72DB3A902858}" name="durée" dataDxfId="18">
      <calculatedColumnFormula>ABS(I8-H8-J8)</calculatedColumnFormula>
    </tableColumn>
    <tableColumn id="12" xr3:uid="{43293731-3A67-46FC-AA3B-5A7BEF034FDF}" name="pannier" dataDxfId="17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E2EF6E-C9C5-4E13-8594-E39CF08E2029}" name="Tableau5" displayName="Tableau5" ref="A1:Q17" totalsRowShown="0" headerRowDxfId="16">
  <tableColumns count="17">
    <tableColumn id="1" xr3:uid="{20921DC4-ADC6-4AEE-9FEB-CC7AA3411210}" name="manifestation" dataDxfId="15"/>
    <tableColumn id="2" xr3:uid="{EC2D1951-A02E-488F-B620-D3A3E2C3C4B5}" name="nom" dataDxfId="14"/>
    <tableColumn id="3" xr3:uid="{328B7632-8670-4B03-AA54-B416B45CB8E3}" name="profession" dataDxfId="13"/>
    <tableColumn id="4" xr3:uid="{26E49FCD-CF48-48B9-9087-67BF57D1232B}" name="tâche" dataDxfId="12"/>
    <tableColumn id="5" xr3:uid="{467EB8B8-CF54-4C10-83ED-585B54514948}" name="in" dataDxfId="11"/>
    <tableColumn id="6" xr3:uid="{FD42DD10-18DE-47F8-9806-F6831F7BA717}" name="out" dataDxfId="10"/>
    <tableColumn id="7" xr3:uid="{812A344A-33BA-4869-AB27-2F551428017C}" name="pause" dataDxfId="9"/>
    <tableColumn id="17" xr3:uid="{6CEFA086-7C33-49EF-9B5C-0A4FBA3FF496}" name="pannier" dataDxfId="8"/>
    <tableColumn id="8" xr3:uid="{6371A342-F9FE-47A8-9F02-EEA606885BAE}" name="L" dataDxfId="7"/>
    <tableColumn id="9" xr3:uid="{E94DDC96-5666-4E14-8E11-8415B08016F7}" name="M" dataDxfId="6"/>
    <tableColumn id="10" xr3:uid="{5E390C4C-A642-4CC6-A918-9106ACD90A85}" name="Me" dataDxfId="5"/>
    <tableColumn id="11" xr3:uid="{A6B816EE-2830-4514-AE29-D6FA35691D3B}" name="J" dataDxfId="4"/>
    <tableColumn id="12" xr3:uid="{939E93C8-89DE-4DEF-BA3B-6173BA005AAA}" name="V" dataDxfId="3"/>
    <tableColumn id="13" xr3:uid="{BF9D3B19-B7AA-449A-B111-53A93DA6F0D3}" name="S"/>
    <tableColumn id="14" xr3:uid="{CAD6C0BF-4B51-4069-9F73-8508EA3A554D}" name="D" dataDxfId="2"/>
    <tableColumn id="15" xr3:uid="{BCA09549-E9BA-45C2-B0FE-3B6B997F333F}" name="début" dataDxfId="1"/>
    <tableColumn id="16" xr3:uid="{6B51B0E8-F0B1-4EEE-B0FE-D33F6A02E614}" name="fi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B12" sqref="B12"/>
    </sheetView>
  </sheetViews>
  <sheetFormatPr baseColWidth="10" defaultRowHeight="15" x14ac:dyDescent="0.25"/>
  <cols>
    <col min="1" max="1" width="20.28515625" style="3" customWidth="1"/>
    <col min="2" max="2" width="10.85546875" style="3"/>
  </cols>
  <sheetData>
    <row r="1" spans="1:2" x14ac:dyDescent="0.25">
      <c r="A1" s="3" t="s">
        <v>10</v>
      </c>
      <c r="B1" s="3" t="s">
        <v>42</v>
      </c>
    </row>
    <row r="2" spans="1:2" x14ac:dyDescent="0.25">
      <c r="A2" s="3" t="s">
        <v>43</v>
      </c>
      <c r="B2" s="3" t="s">
        <v>60</v>
      </c>
    </row>
    <row r="3" spans="1:2" x14ac:dyDescent="0.25">
      <c r="A3" s="3" t="s">
        <v>44</v>
      </c>
      <c r="B3" s="3" t="s">
        <v>59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46</v>
      </c>
      <c r="B5" s="3" t="s">
        <v>56</v>
      </c>
    </row>
    <row r="6" spans="1:2" x14ac:dyDescent="0.25">
      <c r="A6" s="3" t="s">
        <v>47</v>
      </c>
      <c r="B6" s="3" t="s">
        <v>57</v>
      </c>
    </row>
    <row r="7" spans="1:2" x14ac:dyDescent="0.25">
      <c r="A7" s="3" t="s">
        <v>48</v>
      </c>
      <c r="B7" s="3" t="s">
        <v>58</v>
      </c>
    </row>
    <row r="8" spans="1:2" x14ac:dyDescent="0.25">
      <c r="A8" s="3" t="s">
        <v>49</v>
      </c>
      <c r="B8" s="3" t="s">
        <v>53</v>
      </c>
    </row>
    <row r="9" spans="1:2" x14ac:dyDescent="0.25">
      <c r="A9" s="3" t="s">
        <v>50</v>
      </c>
      <c r="B9" s="3" t="s">
        <v>54</v>
      </c>
    </row>
    <row r="10" spans="1:2" x14ac:dyDescent="0.25">
      <c r="A10" s="3" t="s">
        <v>51</v>
      </c>
      <c r="B10" s="3" t="s">
        <v>55</v>
      </c>
    </row>
    <row r="11" spans="1:2" x14ac:dyDescent="0.25">
      <c r="A11" s="3" t="s">
        <v>52</v>
      </c>
      <c r="B11" s="3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F5"/>
  <sheetViews>
    <sheetView workbookViewId="0">
      <selection activeCell="E6" sqref="E6"/>
    </sheetView>
  </sheetViews>
  <sheetFormatPr baseColWidth="10" defaultRowHeight="15" x14ac:dyDescent="0.25"/>
  <cols>
    <col min="1" max="1" width="22.7109375" style="3" bestFit="1" customWidth="1"/>
    <col min="2" max="3" width="10.85546875" style="3"/>
  </cols>
  <sheetData>
    <row r="1" spans="1:6" x14ac:dyDescent="0.25">
      <c r="A1" s="3" t="s">
        <v>10</v>
      </c>
      <c r="B1" s="3" t="s">
        <v>42</v>
      </c>
      <c r="C1" s="3" t="s">
        <v>83</v>
      </c>
      <c r="D1" s="3" t="s">
        <v>104</v>
      </c>
      <c r="E1" s="3" t="s">
        <v>105</v>
      </c>
      <c r="F1" s="3" t="s">
        <v>106</v>
      </c>
    </row>
    <row r="2" spans="1:6" x14ac:dyDescent="0.25">
      <c r="A2" s="3" t="s">
        <v>76</v>
      </c>
      <c r="B2" s="3" t="s">
        <v>77</v>
      </c>
      <c r="C2" s="4" t="s">
        <v>84</v>
      </c>
      <c r="D2" s="3">
        <v>1.5</v>
      </c>
      <c r="E2" s="3">
        <v>3</v>
      </c>
      <c r="F2" s="3">
        <v>1</v>
      </c>
    </row>
    <row r="3" spans="1:6" x14ac:dyDescent="0.25">
      <c r="A3" s="3" t="s">
        <v>78</v>
      </c>
      <c r="B3" s="3" t="s">
        <v>79</v>
      </c>
      <c r="C3" s="3" t="s">
        <v>86</v>
      </c>
      <c r="D3" s="3">
        <v>1.5</v>
      </c>
      <c r="E3" s="3">
        <v>2</v>
      </c>
      <c r="F3" s="3">
        <v>1</v>
      </c>
    </row>
    <row r="4" spans="1:6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</row>
    <row r="5" spans="1:6" x14ac:dyDescent="0.25">
      <c r="A5" s="3" t="s">
        <v>81</v>
      </c>
      <c r="B5" s="3" t="s">
        <v>82</v>
      </c>
      <c r="C5" s="3" t="s">
        <v>85</v>
      </c>
      <c r="D5" s="3">
        <v>2</v>
      </c>
      <c r="E5" s="3">
        <v>5</v>
      </c>
      <c r="F5" s="3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E7"/>
  <sheetViews>
    <sheetView showGridLines="0" workbookViewId="0">
      <selection activeCell="D3" sqref="D3"/>
    </sheetView>
  </sheetViews>
  <sheetFormatPr baseColWidth="10" defaultRowHeight="15" x14ac:dyDescent="0.25"/>
  <cols>
    <col min="1" max="1" width="10.85546875" style="3"/>
    <col min="2" max="2" width="12.5703125" style="3" bestFit="1" customWidth="1"/>
    <col min="3" max="3" width="11.5703125" style="3" customWidth="1"/>
    <col min="4" max="4" width="14.42578125" style="3" bestFit="1" customWidth="1"/>
  </cols>
  <sheetData>
    <row r="1" spans="1:5" x14ac:dyDescent="0.25">
      <c r="A1" s="3" t="s">
        <v>1</v>
      </c>
      <c r="B1" s="3" t="s">
        <v>10</v>
      </c>
      <c r="C1" s="3" t="s">
        <v>11</v>
      </c>
      <c r="D1" s="3" t="s">
        <v>12</v>
      </c>
      <c r="E1" s="3" t="s">
        <v>102</v>
      </c>
    </row>
    <row r="2" spans="1:5" x14ac:dyDescent="0.25">
      <c r="A2" s="3" t="s">
        <v>128</v>
      </c>
      <c r="B2" s="8" t="s">
        <v>130</v>
      </c>
      <c r="C2" s="8" t="s">
        <v>130</v>
      </c>
      <c r="D2" s="3" t="s">
        <v>129</v>
      </c>
      <c r="E2" s="3"/>
    </row>
    <row r="3" spans="1:5" x14ac:dyDescent="0.25">
      <c r="A3" s="3" t="s">
        <v>13</v>
      </c>
      <c r="B3" s="3" t="s">
        <v>14</v>
      </c>
      <c r="C3" s="3" t="s">
        <v>15</v>
      </c>
      <c r="D3" s="3" t="s">
        <v>16</v>
      </c>
      <c r="E3" s="3">
        <v>22</v>
      </c>
    </row>
    <row r="4" spans="1:5" x14ac:dyDescent="0.25">
      <c r="A4" s="3" t="s">
        <v>20</v>
      </c>
      <c r="B4" s="3" t="s">
        <v>17</v>
      </c>
      <c r="C4" s="3" t="s">
        <v>19</v>
      </c>
      <c r="D4" s="3" t="s">
        <v>18</v>
      </c>
      <c r="E4" s="3"/>
    </row>
    <row r="5" spans="1:5" x14ac:dyDescent="0.25">
      <c r="A5" s="3" t="s">
        <v>24</v>
      </c>
      <c r="B5" s="3" t="s">
        <v>21</v>
      </c>
      <c r="C5" s="3" t="s">
        <v>22</v>
      </c>
      <c r="D5" s="3" t="s">
        <v>23</v>
      </c>
      <c r="E5" s="3"/>
    </row>
    <row r="6" spans="1:5" x14ac:dyDescent="0.25">
      <c r="A6" s="3" t="s">
        <v>28</v>
      </c>
      <c r="B6" s="3" t="s">
        <v>25</v>
      </c>
      <c r="C6" s="3" t="s">
        <v>26</v>
      </c>
      <c r="D6" s="3" t="s">
        <v>27</v>
      </c>
      <c r="E6" s="3"/>
    </row>
    <row r="7" spans="1:5" x14ac:dyDescent="0.25">
      <c r="A7" s="3" t="s">
        <v>98</v>
      </c>
      <c r="B7" s="3" t="s">
        <v>99</v>
      </c>
      <c r="C7" s="3" t="s">
        <v>100</v>
      </c>
      <c r="D7" s="3" t="s">
        <v>101</v>
      </c>
      <c r="E7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I193"/>
  <sheetViews>
    <sheetView workbookViewId="0">
      <selection activeCell="D4" sqref="D4"/>
    </sheetView>
  </sheetViews>
  <sheetFormatPr baseColWidth="10" defaultRowHeight="15" x14ac:dyDescent="0.25"/>
  <cols>
    <col min="6" max="6" width="23.140625" style="3" bestFit="1" customWidth="1"/>
    <col min="7" max="7" width="10.85546875" style="3"/>
  </cols>
  <sheetData>
    <row r="1" spans="2:9" x14ac:dyDescent="0.25">
      <c r="B1" s="3" t="s">
        <v>0</v>
      </c>
      <c r="C1" s="3"/>
      <c r="D1" s="3" t="s">
        <v>115</v>
      </c>
      <c r="F1" s="3" t="s">
        <v>29</v>
      </c>
      <c r="G1" s="3" t="s">
        <v>32</v>
      </c>
      <c r="I1" s="3" t="s">
        <v>83</v>
      </c>
    </row>
    <row r="2" spans="2:9" x14ac:dyDescent="0.25">
      <c r="B2" s="2">
        <v>0</v>
      </c>
      <c r="C2" s="2"/>
      <c r="D2" s="2">
        <v>2.0833333333333332E-2</v>
      </c>
      <c r="E2" s="1"/>
      <c r="F2" s="3" t="s">
        <v>31</v>
      </c>
      <c r="G2" s="3" t="s">
        <v>33</v>
      </c>
      <c r="I2" s="4" t="s">
        <v>93</v>
      </c>
    </row>
    <row r="3" spans="2:9" x14ac:dyDescent="0.25">
      <c r="B3" s="2">
        <v>1.0416666666666666E-2</v>
      </c>
      <c r="C3" s="2"/>
      <c r="D3" s="2">
        <v>3.125E-2</v>
      </c>
      <c r="F3" s="3" t="s">
        <v>92</v>
      </c>
      <c r="G3" s="3" t="s">
        <v>30</v>
      </c>
      <c r="I3" s="3" t="s">
        <v>94</v>
      </c>
    </row>
    <row r="4" spans="2:9" x14ac:dyDescent="0.25">
      <c r="B4" s="2">
        <v>2.0833333333333332E-2</v>
      </c>
      <c r="C4" s="2"/>
      <c r="D4" s="2">
        <v>4.1666666666666664E-2</v>
      </c>
      <c r="F4" s="3" t="s">
        <v>40</v>
      </c>
      <c r="G4" s="3" t="s">
        <v>34</v>
      </c>
      <c r="I4" s="3" t="s">
        <v>95</v>
      </c>
    </row>
    <row r="5" spans="2:9" x14ac:dyDescent="0.25">
      <c r="B5" s="2">
        <v>3.125E-2</v>
      </c>
      <c r="C5" s="2"/>
      <c r="D5" s="2">
        <v>5.2083333333333329E-2</v>
      </c>
      <c r="F5" s="3" t="s">
        <v>39</v>
      </c>
      <c r="G5" s="3" t="s">
        <v>35</v>
      </c>
      <c r="I5" s="3" t="s">
        <v>95</v>
      </c>
    </row>
    <row r="6" spans="2:9" x14ac:dyDescent="0.25">
      <c r="B6" s="2">
        <v>4.1666666666666664E-2</v>
      </c>
      <c r="C6" s="2"/>
      <c r="D6" s="2"/>
      <c r="F6" s="3" t="s">
        <v>38</v>
      </c>
      <c r="G6" s="3" t="s">
        <v>36</v>
      </c>
      <c r="I6" s="3" t="s">
        <v>96</v>
      </c>
    </row>
    <row r="7" spans="2:9" x14ac:dyDescent="0.25">
      <c r="B7" s="2">
        <v>5.2083333333333329E-2</v>
      </c>
      <c r="C7" s="2"/>
      <c r="D7" s="2"/>
      <c r="F7" s="3" t="s">
        <v>41</v>
      </c>
      <c r="G7" s="3" t="s">
        <v>37</v>
      </c>
      <c r="I7" s="3" t="s">
        <v>97</v>
      </c>
    </row>
    <row r="8" spans="2:9" x14ac:dyDescent="0.25">
      <c r="B8" s="2">
        <v>6.2499999999999993E-2</v>
      </c>
      <c r="C8" s="2"/>
      <c r="D8" s="2"/>
      <c r="F8" s="3" t="s">
        <v>89</v>
      </c>
      <c r="G8" s="3" t="s">
        <v>90</v>
      </c>
    </row>
    <row r="9" spans="2:9" x14ac:dyDescent="0.25">
      <c r="B9" s="2">
        <v>7.2916666666666657E-2</v>
      </c>
      <c r="C9" s="2"/>
      <c r="D9" s="2"/>
      <c r="F9" s="3" t="s">
        <v>88</v>
      </c>
      <c r="G9" s="3" t="s">
        <v>91</v>
      </c>
    </row>
    <row r="10" spans="2:9" x14ac:dyDescent="0.25">
      <c r="B10" s="2">
        <v>8.3333333333333329E-2</v>
      </c>
      <c r="C10" s="2"/>
      <c r="D10" s="2"/>
    </row>
    <row r="11" spans="2:9" x14ac:dyDescent="0.25">
      <c r="B11" s="2">
        <v>9.375E-2</v>
      </c>
      <c r="C11" s="2"/>
      <c r="D11" s="2"/>
    </row>
    <row r="12" spans="2:9" x14ac:dyDescent="0.25">
      <c r="B12" s="2">
        <v>0.10416666666666667</v>
      </c>
      <c r="C12" s="2"/>
      <c r="D12" s="2"/>
    </row>
    <row r="13" spans="2:9" x14ac:dyDescent="0.25">
      <c r="B13" s="2">
        <v>0.11458333333333334</v>
      </c>
      <c r="C13" s="2"/>
      <c r="D13" s="2"/>
    </row>
    <row r="14" spans="2:9" x14ac:dyDescent="0.25">
      <c r="B14" s="2">
        <v>0.125</v>
      </c>
      <c r="C14" s="2"/>
      <c r="D14" s="2"/>
    </row>
    <row r="15" spans="2:9" x14ac:dyDescent="0.25">
      <c r="B15" s="2">
        <v>0.13541666666666666</v>
      </c>
      <c r="C15" s="2"/>
      <c r="D15" s="2"/>
    </row>
    <row r="16" spans="2:9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8"/>
  <sheetViews>
    <sheetView workbookViewId="0"/>
  </sheetViews>
  <sheetFormatPr baseColWidth="10" defaultRowHeight="15" x14ac:dyDescent="0.25"/>
  <cols>
    <col min="1" max="3" width="16.42578125" style="3" customWidth="1"/>
  </cols>
  <sheetData>
    <row r="1" spans="1:3" x14ac:dyDescent="0.25">
      <c r="A1" s="3" t="s">
        <v>1</v>
      </c>
      <c r="B1" s="3" t="s">
        <v>2</v>
      </c>
      <c r="C1" s="3" t="s">
        <v>65</v>
      </c>
    </row>
    <row r="2" spans="1:3" x14ac:dyDescent="0.25">
      <c r="A2" s="3" t="s">
        <v>63</v>
      </c>
      <c r="B2" s="3" t="s">
        <v>64</v>
      </c>
      <c r="C2" s="3">
        <v>15</v>
      </c>
    </row>
    <row r="3" spans="1:3" x14ac:dyDescent="0.25">
      <c r="A3" s="3" t="s">
        <v>71</v>
      </c>
      <c r="B3" s="3" t="s">
        <v>66</v>
      </c>
      <c r="C3" s="3">
        <v>18</v>
      </c>
    </row>
    <row r="4" spans="1:3" x14ac:dyDescent="0.25">
      <c r="A4" s="3" t="s">
        <v>72</v>
      </c>
      <c r="B4" s="3" t="s">
        <v>67</v>
      </c>
      <c r="C4" s="3">
        <v>18</v>
      </c>
    </row>
    <row r="5" spans="1:3" x14ac:dyDescent="0.25">
      <c r="A5" s="3" t="s">
        <v>74</v>
      </c>
      <c r="B5" s="3" t="s">
        <v>68</v>
      </c>
      <c r="C5" s="3">
        <v>18</v>
      </c>
    </row>
    <row r="6" spans="1:3" x14ac:dyDescent="0.25">
      <c r="A6" s="3" t="s">
        <v>73</v>
      </c>
      <c r="B6" s="3" t="s">
        <v>69</v>
      </c>
      <c r="C6" s="3">
        <v>22</v>
      </c>
    </row>
    <row r="7" spans="1:3" x14ac:dyDescent="0.25">
      <c r="A7" s="3" t="s">
        <v>75</v>
      </c>
      <c r="B7" s="3" t="s">
        <v>70</v>
      </c>
      <c r="C7" s="3">
        <v>15</v>
      </c>
    </row>
    <row r="8" spans="1:3" x14ac:dyDescent="0.25">
      <c r="A8" s="3" t="s">
        <v>107</v>
      </c>
      <c r="B8" s="3" t="s">
        <v>108</v>
      </c>
      <c r="C8" s="3">
        <v>13.5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L15"/>
  <sheetViews>
    <sheetView zoomScaleNormal="100" workbookViewId="0">
      <pane ySplit="7" topLeftCell="A8" activePane="bottomLeft" state="frozen"/>
      <selection pane="bottomLeft" activeCell="I13" sqref="I13"/>
    </sheetView>
  </sheetViews>
  <sheetFormatPr baseColWidth="10" defaultRowHeight="15" x14ac:dyDescent="0.25"/>
  <cols>
    <col min="1" max="1" width="8.140625" style="3" bestFit="1" customWidth="1"/>
    <col min="2" max="2" width="4.85546875" style="3" hidden="1" customWidth="1"/>
    <col min="3" max="3" width="6" style="3" hidden="1" customWidth="1"/>
    <col min="4" max="4" width="16.42578125" style="3" customWidth="1"/>
    <col min="5" max="5" width="18.5703125" style="3" customWidth="1"/>
    <col min="6" max="6" width="14.7109375" style="3" bestFit="1" customWidth="1"/>
    <col min="7" max="7" width="13.28515625" style="3" customWidth="1"/>
    <col min="8" max="8" width="6.5703125" style="3" customWidth="1"/>
    <col min="9" max="9" width="7.42578125" style="3" customWidth="1"/>
    <col min="10" max="10" width="10.140625" style="3" customWidth="1"/>
    <col min="11" max="11" width="7.42578125" style="3" customWidth="1"/>
  </cols>
  <sheetData>
    <row r="7" spans="1:12" x14ac:dyDescent="0.25">
      <c r="A7" s="3" t="s">
        <v>109</v>
      </c>
      <c r="B7" s="3" t="s">
        <v>62</v>
      </c>
      <c r="C7" s="3" t="s">
        <v>117</v>
      </c>
      <c r="D7" s="3" t="s">
        <v>110</v>
      </c>
      <c r="E7" s="3" t="s">
        <v>111</v>
      </c>
      <c r="F7" s="3" t="s">
        <v>112</v>
      </c>
      <c r="G7" s="3" t="s">
        <v>116</v>
      </c>
      <c r="H7" s="3" t="s">
        <v>113</v>
      </c>
      <c r="I7" s="3" t="s">
        <v>114</v>
      </c>
      <c r="J7" s="3" t="s">
        <v>115</v>
      </c>
      <c r="K7" s="3" t="s">
        <v>103</v>
      </c>
      <c r="L7" s="3" t="s">
        <v>118</v>
      </c>
    </row>
    <row r="8" spans="1:12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108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5" si="0">ABS(I8-H8-J8)</f>
        <v>0.17708333333333304</v>
      </c>
      <c r="L8" s="5"/>
    </row>
    <row r="9" spans="1:12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5"/>
    </row>
    <row r="10" spans="1:12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5"/>
    </row>
    <row r="11" spans="1:12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45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5"/>
    </row>
    <row r="12" spans="1:12" x14ac:dyDescent="0.25">
      <c r="A12" s="7">
        <v>45294</v>
      </c>
      <c r="B12" s="6">
        <f>MONTH(Tableau4[[#This Row],[date]])</f>
        <v>1</v>
      </c>
      <c r="C12" s="6">
        <f>YEAR(Tableau4[[#This Row],[date]])</f>
        <v>2024</v>
      </c>
      <c r="D12" s="3" t="s">
        <v>77</v>
      </c>
      <c r="E12" s="3" t="s">
        <v>23</v>
      </c>
      <c r="F12" s="3" t="s">
        <v>67</v>
      </c>
      <c r="G12" s="3" t="s">
        <v>56</v>
      </c>
      <c r="H12" s="5">
        <v>0.58333333333333337</v>
      </c>
      <c r="I12" s="5">
        <v>0.74999999999999944</v>
      </c>
      <c r="J12" s="5"/>
      <c r="K12" s="5">
        <f t="shared" si="0"/>
        <v>0.16666666666666607</v>
      </c>
      <c r="L12" s="5"/>
    </row>
    <row r="13" spans="1:12" x14ac:dyDescent="0.25">
      <c r="A13" s="7">
        <v>45294</v>
      </c>
      <c r="B13" s="6">
        <f>MONTH(Tableau4[[#This Row],[date]])</f>
        <v>1</v>
      </c>
      <c r="C13" s="6">
        <f>YEAR(Tableau4[[#This Row],[date]])</f>
        <v>2024</v>
      </c>
      <c r="D13" s="3" t="s">
        <v>77</v>
      </c>
      <c r="E13" s="3" t="s">
        <v>16</v>
      </c>
      <c r="F13" s="3" t="s">
        <v>66</v>
      </c>
      <c r="G13" s="3" t="s">
        <v>57</v>
      </c>
      <c r="H13" s="5">
        <v>0.58333333333333337</v>
      </c>
      <c r="I13" s="5">
        <v>0.74999999999999944</v>
      </c>
      <c r="J13" s="5"/>
      <c r="K13" s="5">
        <f t="shared" si="0"/>
        <v>0.16666666666666607</v>
      </c>
      <c r="L13" s="5"/>
    </row>
    <row r="14" spans="1:12" x14ac:dyDescent="0.25">
      <c r="A14" s="7">
        <v>45294</v>
      </c>
      <c r="B14" s="6">
        <f>MONTH(Tableau4[[#This Row],[date]])</f>
        <v>1</v>
      </c>
      <c r="C14" s="6">
        <f>YEAR(Tableau4[[#This Row],[date]])</f>
        <v>2024</v>
      </c>
      <c r="D14" s="3" t="s">
        <v>77</v>
      </c>
      <c r="E14" s="3" t="s">
        <v>16</v>
      </c>
      <c r="F14" s="3" t="s">
        <v>69</v>
      </c>
      <c r="G14" s="3" t="s">
        <v>45</v>
      </c>
      <c r="H14" s="5">
        <v>0.58333333333333337</v>
      </c>
      <c r="I14" s="5">
        <v>0.74999999999999944</v>
      </c>
      <c r="J14" s="5"/>
      <c r="K14" s="5">
        <f t="shared" si="0"/>
        <v>0.16666666666666607</v>
      </c>
      <c r="L14" s="5"/>
    </row>
    <row r="15" spans="1:12" x14ac:dyDescent="0.25">
      <c r="A15" s="7">
        <v>45294</v>
      </c>
      <c r="B15" s="6">
        <f>MONTH(Tableau4[[#This Row],[date]])</f>
        <v>1</v>
      </c>
      <c r="C15" s="6">
        <f>YEAR(Tableau4[[#This Row],[date]])</f>
        <v>2024</v>
      </c>
      <c r="D15" s="3" t="s">
        <v>77</v>
      </c>
      <c r="E15" s="3" t="s">
        <v>101</v>
      </c>
      <c r="F15" s="3" t="s">
        <v>70</v>
      </c>
      <c r="G15" s="3" t="s">
        <v>59</v>
      </c>
      <c r="H15" s="5">
        <v>0.74999999999999944</v>
      </c>
      <c r="I15" s="5">
        <v>0.83333333333333248</v>
      </c>
      <c r="J15" s="5"/>
      <c r="K15" s="5">
        <f t="shared" si="0"/>
        <v>8.3333333333333037E-2</v>
      </c>
      <c r="L15" s="5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H8:I15</xm:sqref>
        </x14:dataValidation>
        <x14:dataValidation type="list" allowBlank="1" showInputMessage="1" showErrorMessage="1" xr:uid="{1FC6FD4B-199F-47BE-AF35-2EC9167580E6}">
          <x14:formula1>
            <xm:f>listes!$D$2:$D$5</xm:f>
          </x14:formula1>
          <xm:sqref>J8:J15</xm:sqref>
        </x14:dataValidation>
        <x14:dataValidation type="list" allowBlank="1" showInputMessage="1" showErrorMessage="1" xr:uid="{CEB5FBCD-7B0B-429D-8FFD-660F9D3B0CC7}">
          <x14:formula1>
            <xm:f>professions!$B$2:$B$8</xm:f>
          </x14:formula1>
          <xm:sqref>F8:F15</xm:sqref>
        </x14:dataValidation>
        <x14:dataValidation type="list" allowBlank="1" showInputMessage="1" showErrorMessage="1" xr:uid="{04C2F9EC-D51C-483F-9A19-BEFB5A467727}">
          <x14:formula1>
            <xm:f>events!$B$2:$B$5</xm:f>
          </x14:formula1>
          <xm:sqref>D8:D15</xm:sqref>
        </x14:dataValidation>
        <x14:dataValidation type="list" allowBlank="1" showInputMessage="1" showErrorMessage="1" xr:uid="{DB215207-2E62-463F-85CE-0C03F19D62DD}">
          <x14:formula1>
            <xm:f>salaries!$D$2:$D$7</xm:f>
          </x14:formula1>
          <xm:sqref>E8:E15</xm:sqref>
        </x14:dataValidation>
        <x14:dataValidation type="list" allowBlank="1" showInputMessage="1" showErrorMessage="1" xr:uid="{B2B77F4A-9794-40A6-A3F1-2678A96FAE7B}">
          <x14:formula1>
            <xm:f>taches!$B$2:$B$11</xm:f>
          </x14:formula1>
          <xm:sqref>G8:G15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9F7BA-73FB-4EEF-992A-1D83B6E111CD}">
  <sheetPr codeName="Feuil9"/>
  <dimension ref="A1:F6"/>
  <sheetViews>
    <sheetView tabSelected="1" workbookViewId="0">
      <selection activeCell="I8" sqref="I8"/>
    </sheetView>
  </sheetViews>
  <sheetFormatPr baseColWidth="10" defaultRowHeight="15" x14ac:dyDescent="0.25"/>
  <cols>
    <col min="1" max="6" width="10.85546875" style="3"/>
  </cols>
  <sheetData>
    <row r="1" spans="1:6" x14ac:dyDescent="0.25">
      <c r="A1" s="3" t="s">
        <v>131</v>
      </c>
      <c r="B1" s="3" t="s">
        <v>132</v>
      </c>
      <c r="C1" s="3" t="s">
        <v>133</v>
      </c>
      <c r="D1" s="3" t="s">
        <v>134</v>
      </c>
      <c r="E1" s="3" t="s">
        <v>135</v>
      </c>
      <c r="F1" s="3" t="s">
        <v>136</v>
      </c>
    </row>
    <row r="2" spans="1:6" x14ac:dyDescent="0.25">
      <c r="A2" s="3">
        <v>1</v>
      </c>
      <c r="B2" s="3" t="s">
        <v>100</v>
      </c>
      <c r="C2" s="3" t="s">
        <v>137</v>
      </c>
      <c r="D2" s="3" t="s">
        <v>144</v>
      </c>
      <c r="E2" s="3" t="s">
        <v>146</v>
      </c>
      <c r="F2" s="3" t="s">
        <v>148</v>
      </c>
    </row>
    <row r="3" spans="1:6" x14ac:dyDescent="0.25">
      <c r="A3" s="3">
        <v>2</v>
      </c>
      <c r="B3" s="3" t="s">
        <v>140</v>
      </c>
      <c r="C3" s="3" t="s">
        <v>141</v>
      </c>
      <c r="D3" s="3" t="s">
        <v>145</v>
      </c>
      <c r="E3" s="3" t="s">
        <v>146</v>
      </c>
      <c r="F3" s="3" t="s">
        <v>150</v>
      </c>
    </row>
    <row r="4" spans="1:6" x14ac:dyDescent="0.25">
      <c r="A4" s="3">
        <v>3</v>
      </c>
      <c r="B4" s="3" t="s">
        <v>138</v>
      </c>
      <c r="C4" s="3" t="s">
        <v>139</v>
      </c>
      <c r="D4" s="3" t="s">
        <v>144</v>
      </c>
      <c r="E4" s="3" t="s">
        <v>147</v>
      </c>
      <c r="F4" s="3" t="s">
        <v>149</v>
      </c>
    </row>
    <row r="5" spans="1:6" x14ac:dyDescent="0.25">
      <c r="A5" s="3">
        <v>4</v>
      </c>
      <c r="B5" s="3" t="s">
        <v>142</v>
      </c>
      <c r="C5" s="3" t="s">
        <v>151</v>
      </c>
      <c r="D5" s="3" t="s">
        <v>144</v>
      </c>
      <c r="E5" s="3" t="s">
        <v>147</v>
      </c>
      <c r="F5" s="3" t="s">
        <v>149</v>
      </c>
    </row>
    <row r="6" spans="1:6" x14ac:dyDescent="0.25">
      <c r="A6" s="3">
        <v>5</v>
      </c>
      <c r="B6" s="3" t="s">
        <v>153</v>
      </c>
      <c r="C6" s="3" t="s">
        <v>143</v>
      </c>
      <c r="D6" s="3" t="s">
        <v>144</v>
      </c>
      <c r="E6" s="3" t="s">
        <v>147</v>
      </c>
      <c r="F6" s="3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Q81"/>
  <sheetViews>
    <sheetView workbookViewId="0">
      <pane ySplit="1" topLeftCell="A2" activePane="bottomLeft" state="frozen"/>
      <selection pane="bottomLeft" activeCell="J2" sqref="J2"/>
    </sheetView>
  </sheetViews>
  <sheetFormatPr baseColWidth="10" defaultRowHeight="15" x14ac:dyDescent="0.25"/>
  <cols>
    <col min="1" max="1" width="17.42578125" style="3" customWidth="1"/>
    <col min="2" max="2" width="14.42578125" style="3" bestFit="1" customWidth="1"/>
    <col min="3" max="3" width="14.7109375" style="3" bestFit="1" customWidth="1"/>
    <col min="4" max="4" width="10.85546875" style="3"/>
    <col min="5" max="8" width="8.7109375" style="3" customWidth="1"/>
    <col min="9" max="9" width="3.7109375" style="3" customWidth="1"/>
    <col min="10" max="10" width="4.28515625" style="3" customWidth="1"/>
    <col min="11" max="11" width="5.28515625" style="3" customWidth="1"/>
    <col min="12" max="12" width="3.42578125" style="3" customWidth="1"/>
    <col min="13" max="13" width="3.85546875" style="3" customWidth="1"/>
    <col min="14" max="14" width="3.85546875" customWidth="1"/>
    <col min="15" max="15" width="4.140625" customWidth="1"/>
  </cols>
  <sheetData>
    <row r="1" spans="1:17" x14ac:dyDescent="0.25">
      <c r="A1" s="3" t="s">
        <v>110</v>
      </c>
      <c r="B1" s="3" t="s">
        <v>10</v>
      </c>
      <c r="C1" s="3" t="s">
        <v>112</v>
      </c>
      <c r="D1" s="3" t="s">
        <v>116</v>
      </c>
      <c r="E1" s="3" t="s">
        <v>113</v>
      </c>
      <c r="F1" s="3" t="s">
        <v>114</v>
      </c>
      <c r="G1" s="3" t="s">
        <v>115</v>
      </c>
      <c r="H1" s="3" t="s">
        <v>118</v>
      </c>
      <c r="I1" s="3" t="s">
        <v>121</v>
      </c>
      <c r="J1" s="3" t="s">
        <v>122</v>
      </c>
      <c r="K1" s="3" t="s">
        <v>123</v>
      </c>
      <c r="L1" s="3" t="s">
        <v>124</v>
      </c>
      <c r="M1" s="3" t="s">
        <v>125</v>
      </c>
      <c r="N1" s="3" t="s">
        <v>126</v>
      </c>
      <c r="O1" s="3" t="s">
        <v>127</v>
      </c>
      <c r="P1" s="3" t="s">
        <v>119</v>
      </c>
      <c r="Q1" s="3" t="s">
        <v>120</v>
      </c>
    </row>
    <row r="2" spans="1:17" x14ac:dyDescent="0.25">
      <c r="A2" s="3" t="s">
        <v>77</v>
      </c>
      <c r="B2" s="3" t="s">
        <v>23</v>
      </c>
      <c r="C2" s="3" t="s">
        <v>67</v>
      </c>
      <c r="D2" s="7" t="s">
        <v>56</v>
      </c>
      <c r="E2" s="5">
        <v>0.66666666666666641</v>
      </c>
      <c r="F2" s="5">
        <v>0.95833333333333204</v>
      </c>
      <c r="G2" s="5"/>
      <c r="H2" s="6"/>
      <c r="I2" s="3">
        <v>1</v>
      </c>
      <c r="J2" s="3">
        <v>1</v>
      </c>
      <c r="K2" s="3">
        <v>1</v>
      </c>
      <c r="O2" s="3"/>
      <c r="P2" s="7">
        <v>45306</v>
      </c>
      <c r="Q2" s="7">
        <v>45318</v>
      </c>
    </row>
    <row r="3" spans="1:17" x14ac:dyDescent="0.25">
      <c r="A3" s="3" t="s">
        <v>77</v>
      </c>
      <c r="B3" s="3" t="s">
        <v>16</v>
      </c>
      <c r="C3" s="3" t="s">
        <v>68</v>
      </c>
      <c r="D3" s="7" t="s">
        <v>58</v>
      </c>
      <c r="E3" s="5">
        <v>0.66666666666666641</v>
      </c>
      <c r="F3" s="5">
        <v>0.95833333333333204</v>
      </c>
      <c r="G3" s="5"/>
      <c r="H3" s="6"/>
      <c r="L3" s="3">
        <v>1</v>
      </c>
      <c r="M3" s="3">
        <v>1</v>
      </c>
      <c r="O3" s="3">
        <v>1</v>
      </c>
      <c r="P3" s="7">
        <v>45306</v>
      </c>
      <c r="Q3" s="7">
        <v>45318</v>
      </c>
    </row>
    <row r="4" spans="1:17" x14ac:dyDescent="0.25">
      <c r="A4" s="3" t="s">
        <v>77</v>
      </c>
      <c r="B4" s="3" t="s">
        <v>18</v>
      </c>
      <c r="C4" s="3" t="s">
        <v>108</v>
      </c>
      <c r="D4" s="7" t="s">
        <v>45</v>
      </c>
      <c r="E4" s="5">
        <v>0.66666666666666641</v>
      </c>
      <c r="F4" s="5">
        <v>0.95833333333333204</v>
      </c>
      <c r="G4" s="5"/>
      <c r="H4" s="6"/>
      <c r="L4" s="3">
        <v>1</v>
      </c>
      <c r="M4" s="3">
        <v>1</v>
      </c>
      <c r="O4" s="3">
        <v>1</v>
      </c>
      <c r="P4" s="7">
        <v>45306</v>
      </c>
      <c r="Q4" s="7">
        <v>45387</v>
      </c>
    </row>
    <row r="5" spans="1:17" x14ac:dyDescent="0.25">
      <c r="A5" s="3" t="s">
        <v>77</v>
      </c>
      <c r="B5" s="3" t="s">
        <v>23</v>
      </c>
      <c r="C5" s="3" t="s">
        <v>67</v>
      </c>
      <c r="D5" s="7" t="s">
        <v>56</v>
      </c>
      <c r="E5" s="5">
        <v>0.66666666666666641</v>
      </c>
      <c r="F5" s="5">
        <v>0.95833333333333204</v>
      </c>
      <c r="G5" s="5"/>
      <c r="H5" s="6"/>
      <c r="L5" s="3">
        <v>1</v>
      </c>
      <c r="M5" s="3">
        <v>1</v>
      </c>
      <c r="O5" s="3">
        <v>1</v>
      </c>
      <c r="P5" s="7">
        <v>45306</v>
      </c>
      <c r="Q5" s="7">
        <v>45387</v>
      </c>
    </row>
    <row r="6" spans="1:17" x14ac:dyDescent="0.25">
      <c r="A6" s="3" t="s">
        <v>77</v>
      </c>
      <c r="B6" s="3" t="s">
        <v>23</v>
      </c>
      <c r="C6" s="3" t="s">
        <v>67</v>
      </c>
      <c r="D6" s="7" t="s">
        <v>56</v>
      </c>
      <c r="E6" s="5">
        <v>0.66666666666666641</v>
      </c>
      <c r="F6" s="5">
        <v>0.95833333333333204</v>
      </c>
      <c r="G6" s="5"/>
      <c r="H6" s="6"/>
      <c r="L6" s="3">
        <v>1</v>
      </c>
      <c r="M6" s="3">
        <v>1</v>
      </c>
      <c r="O6" s="3">
        <v>1</v>
      </c>
      <c r="P6" s="7">
        <v>45306</v>
      </c>
      <c r="Q6" s="7">
        <v>45387</v>
      </c>
    </row>
    <row r="7" spans="1:17" x14ac:dyDescent="0.25">
      <c r="A7" s="3" t="s">
        <v>77</v>
      </c>
      <c r="B7" s="3" t="s">
        <v>23</v>
      </c>
      <c r="C7" s="3" t="s">
        <v>67</v>
      </c>
      <c r="D7" s="7" t="s">
        <v>56</v>
      </c>
      <c r="E7" s="5">
        <v>0.58333333333333337</v>
      </c>
      <c r="F7" s="5">
        <v>0.95833333333333204</v>
      </c>
      <c r="G7" s="5">
        <v>3.125E-2</v>
      </c>
      <c r="H7" s="6">
        <v>1</v>
      </c>
      <c r="N7" s="3">
        <v>2</v>
      </c>
      <c r="O7" s="3"/>
      <c r="P7" s="7">
        <v>45306</v>
      </c>
      <c r="Q7" s="7">
        <v>45387</v>
      </c>
    </row>
    <row r="8" spans="1:17" x14ac:dyDescent="0.25">
      <c r="A8" s="3" t="s">
        <v>77</v>
      </c>
      <c r="B8" s="3" t="s">
        <v>16</v>
      </c>
      <c r="C8" s="3" t="s">
        <v>68</v>
      </c>
      <c r="D8" s="7" t="s">
        <v>58</v>
      </c>
      <c r="E8" s="5">
        <v>0.58333333333333337</v>
      </c>
      <c r="F8" s="5">
        <v>0.95833333333333204</v>
      </c>
      <c r="G8" s="5">
        <v>3.125E-2</v>
      </c>
      <c r="H8" s="6">
        <v>1</v>
      </c>
      <c r="N8" s="3">
        <v>2</v>
      </c>
      <c r="O8" s="3"/>
      <c r="P8" s="7">
        <v>45306</v>
      </c>
      <c r="Q8" s="7">
        <v>45387</v>
      </c>
    </row>
    <row r="9" spans="1:17" x14ac:dyDescent="0.25">
      <c r="A9" s="3" t="s">
        <v>77</v>
      </c>
      <c r="B9" s="3" t="s">
        <v>18</v>
      </c>
      <c r="C9" s="3" t="s">
        <v>108</v>
      </c>
      <c r="D9" s="7" t="s">
        <v>45</v>
      </c>
      <c r="E9" s="5">
        <v>0.58333333333333337</v>
      </c>
      <c r="F9" s="5">
        <v>0.95833333333333204</v>
      </c>
      <c r="G9" s="5">
        <v>3.125E-2</v>
      </c>
      <c r="H9" s="6">
        <v>1</v>
      </c>
      <c r="N9" s="3">
        <v>2</v>
      </c>
      <c r="O9" s="3"/>
      <c r="P9" s="7">
        <v>45306</v>
      </c>
      <c r="Q9" s="7">
        <v>45387</v>
      </c>
    </row>
    <row r="10" spans="1:17" x14ac:dyDescent="0.25">
      <c r="A10" s="3" t="s">
        <v>77</v>
      </c>
      <c r="B10" s="3" t="s">
        <v>23</v>
      </c>
      <c r="C10" s="3" t="s">
        <v>67</v>
      </c>
      <c r="D10" s="7" t="s">
        <v>56</v>
      </c>
      <c r="E10" s="5">
        <v>0.58333333333333337</v>
      </c>
      <c r="F10" s="5">
        <v>0.95833333333333204</v>
      </c>
      <c r="G10" s="5">
        <v>3.125E-2</v>
      </c>
      <c r="H10" s="6">
        <v>1</v>
      </c>
      <c r="N10" s="3">
        <v>2</v>
      </c>
      <c r="O10" s="3"/>
      <c r="P10" s="7">
        <v>45306</v>
      </c>
      <c r="Q10" s="7">
        <v>45387</v>
      </c>
    </row>
    <row r="11" spans="1:17" x14ac:dyDescent="0.25">
      <c r="A11" s="3" t="s">
        <v>77</v>
      </c>
      <c r="B11" s="3" t="s">
        <v>23</v>
      </c>
      <c r="C11" s="3" t="s">
        <v>67</v>
      </c>
      <c r="D11" s="7" t="s">
        <v>56</v>
      </c>
      <c r="E11" s="5">
        <v>0.58333333333333337</v>
      </c>
      <c r="F11" s="5">
        <v>0.95833333333333204</v>
      </c>
      <c r="G11" s="5">
        <v>3.125E-2</v>
      </c>
      <c r="H11" s="6">
        <v>1</v>
      </c>
      <c r="N11" s="3">
        <v>2</v>
      </c>
      <c r="O11" s="3"/>
      <c r="P11" s="7">
        <v>45319</v>
      </c>
      <c r="Q11" s="7">
        <v>45387</v>
      </c>
    </row>
    <row r="12" spans="1:17" x14ac:dyDescent="0.25">
      <c r="A12" s="3" t="s">
        <v>79</v>
      </c>
      <c r="B12" s="3" t="s">
        <v>16</v>
      </c>
      <c r="C12" s="3" t="s">
        <v>66</v>
      </c>
      <c r="D12" s="7" t="s">
        <v>57</v>
      </c>
      <c r="E12" s="5">
        <v>0.62499999999999989</v>
      </c>
      <c r="F12" s="5">
        <v>0.79166666666666596</v>
      </c>
      <c r="G12" s="5"/>
      <c r="H12" s="6"/>
      <c r="N12">
        <v>1</v>
      </c>
      <c r="O12" s="3">
        <v>1</v>
      </c>
      <c r="P12" s="7">
        <v>45318</v>
      </c>
      <c r="Q12" s="7">
        <v>45350</v>
      </c>
    </row>
    <row r="13" spans="1:17" x14ac:dyDescent="0.25">
      <c r="A13" s="3" t="s">
        <v>79</v>
      </c>
      <c r="B13" s="3" t="s">
        <v>23</v>
      </c>
      <c r="C13" s="3" t="s">
        <v>66</v>
      </c>
      <c r="D13" s="7" t="s">
        <v>57</v>
      </c>
      <c r="E13" s="5">
        <v>0.62499999999999989</v>
      </c>
      <c r="F13" s="5">
        <v>0.79166666666666596</v>
      </c>
      <c r="G13" s="5"/>
      <c r="H13" s="6"/>
      <c r="N13">
        <v>1</v>
      </c>
      <c r="O13" s="3">
        <v>1</v>
      </c>
      <c r="P13" s="7">
        <v>45292</v>
      </c>
      <c r="Q13" s="7">
        <v>45322</v>
      </c>
    </row>
    <row r="14" spans="1:17" x14ac:dyDescent="0.25">
      <c r="A14" s="3" t="s">
        <v>79</v>
      </c>
      <c r="B14" s="3" t="s">
        <v>18</v>
      </c>
      <c r="C14" s="3" t="s">
        <v>66</v>
      </c>
      <c r="D14" s="7" t="s">
        <v>57</v>
      </c>
      <c r="E14" s="5">
        <v>0.62499999999999989</v>
      </c>
      <c r="F14" s="5">
        <v>0.79166666666666596</v>
      </c>
      <c r="G14" s="5"/>
      <c r="H14" s="6"/>
      <c r="N14">
        <v>1</v>
      </c>
      <c r="O14" s="3">
        <v>1</v>
      </c>
      <c r="P14" s="7">
        <v>45292</v>
      </c>
      <c r="Q14" s="7">
        <v>45322</v>
      </c>
    </row>
    <row r="15" spans="1:17" x14ac:dyDescent="0.25">
      <c r="A15" s="3" t="s">
        <v>79</v>
      </c>
      <c r="B15" s="3" t="s">
        <v>129</v>
      </c>
      <c r="C15" s="3" t="s">
        <v>66</v>
      </c>
      <c r="D15" s="7" t="s">
        <v>57</v>
      </c>
      <c r="E15" s="5">
        <v>0.62499999999999989</v>
      </c>
      <c r="F15" s="5">
        <v>0.79166666666666596</v>
      </c>
      <c r="G15" s="5"/>
      <c r="H15" s="6"/>
      <c r="N15">
        <v>1</v>
      </c>
      <c r="O15" s="3">
        <v>1</v>
      </c>
      <c r="P15" s="7">
        <v>45323</v>
      </c>
      <c r="Q15" s="7">
        <v>45350</v>
      </c>
    </row>
    <row r="16" spans="1:17" x14ac:dyDescent="0.25">
      <c r="A16" s="3" t="s">
        <v>79</v>
      </c>
      <c r="B16" s="3" t="s">
        <v>129</v>
      </c>
      <c r="C16" s="3" t="s">
        <v>66</v>
      </c>
      <c r="D16" s="7" t="s">
        <v>57</v>
      </c>
      <c r="E16" s="5">
        <v>0.62499999999999989</v>
      </c>
      <c r="F16" s="5">
        <v>0.79166666666666596</v>
      </c>
      <c r="G16" s="5"/>
      <c r="H16" s="6"/>
      <c r="N16">
        <v>1</v>
      </c>
      <c r="O16" s="3">
        <v>1</v>
      </c>
      <c r="P16" s="7">
        <v>45323</v>
      </c>
      <c r="Q16" s="7">
        <v>45350</v>
      </c>
    </row>
    <row r="17" spans="1:17" x14ac:dyDescent="0.25">
      <c r="A17" s="3" t="s">
        <v>79</v>
      </c>
      <c r="B17" s="3" t="s">
        <v>18</v>
      </c>
      <c r="C17" s="3" t="s">
        <v>66</v>
      </c>
      <c r="D17" s="7" t="s">
        <v>57</v>
      </c>
      <c r="E17" s="5">
        <v>0.62499999999999989</v>
      </c>
      <c r="F17" s="5">
        <v>0.79166666666666596</v>
      </c>
      <c r="G17" s="5"/>
      <c r="H17" s="6"/>
      <c r="N17">
        <v>1</v>
      </c>
      <c r="O17" s="3">
        <v>1</v>
      </c>
      <c r="P17" s="7">
        <v>45323</v>
      </c>
      <c r="Q17" s="7">
        <v>45350</v>
      </c>
    </row>
    <row r="18" spans="1:17" x14ac:dyDescent="0.25">
      <c r="D18" s="7"/>
      <c r="E18" s="5"/>
      <c r="F18" s="5"/>
      <c r="G18" s="7"/>
      <c r="H18" s="6"/>
      <c r="N18" s="3"/>
      <c r="O18" s="3"/>
      <c r="P18" s="7"/>
      <c r="Q18" s="7"/>
    </row>
    <row r="19" spans="1:17" x14ac:dyDescent="0.25">
      <c r="D19" s="7"/>
      <c r="E19" s="5"/>
      <c r="F19" s="5"/>
      <c r="G19" s="7"/>
      <c r="H19" s="6"/>
      <c r="N19" s="3"/>
      <c r="O19" s="3"/>
      <c r="P19" s="7"/>
      <c r="Q19" s="7"/>
    </row>
    <row r="20" spans="1:17" x14ac:dyDescent="0.25">
      <c r="D20" s="7"/>
      <c r="E20" s="5"/>
      <c r="F20" s="5"/>
      <c r="G20" s="7"/>
      <c r="H20" s="6"/>
      <c r="N20" s="3"/>
      <c r="O20" s="3"/>
      <c r="P20" s="7"/>
      <c r="Q20" s="7"/>
    </row>
    <row r="21" spans="1:17" x14ac:dyDescent="0.25">
      <c r="D21" s="7"/>
      <c r="E21" s="5"/>
      <c r="F21" s="5"/>
      <c r="G21" s="7"/>
      <c r="H21" s="6"/>
      <c r="N21" s="3"/>
      <c r="O21" s="3"/>
      <c r="P21" s="7"/>
      <c r="Q21" s="7"/>
    </row>
    <row r="22" spans="1:17" x14ac:dyDescent="0.25">
      <c r="D22" s="7"/>
      <c r="E22" s="5"/>
      <c r="F22" s="5"/>
      <c r="G22" s="7"/>
      <c r="H22" s="6"/>
      <c r="N22" s="3"/>
      <c r="O22" s="3"/>
      <c r="P22" s="7"/>
      <c r="Q22" s="7"/>
    </row>
    <row r="23" spans="1:17" x14ac:dyDescent="0.25">
      <c r="D23" s="7"/>
      <c r="E23" s="5"/>
      <c r="F23" s="5"/>
      <c r="G23" s="7"/>
      <c r="H23" s="6"/>
      <c r="N23" s="3"/>
      <c r="O23" s="3"/>
      <c r="P23" s="7"/>
      <c r="Q23" s="7"/>
    </row>
    <row r="24" spans="1:17" x14ac:dyDescent="0.25">
      <c r="D24" s="7"/>
      <c r="E24" s="5"/>
      <c r="F24" s="5"/>
      <c r="G24" s="7"/>
      <c r="H24" s="6"/>
      <c r="N24" s="3"/>
      <c r="O24" s="3"/>
      <c r="P24" s="7"/>
      <c r="Q24" s="7"/>
    </row>
    <row r="25" spans="1:17" x14ac:dyDescent="0.25">
      <c r="D25" s="7"/>
      <c r="E25" s="5"/>
      <c r="F25" s="5"/>
      <c r="G25" s="7"/>
      <c r="H25" s="6"/>
      <c r="N25" s="3"/>
      <c r="O25" s="3"/>
      <c r="P25" s="7"/>
      <c r="Q25" s="7"/>
    </row>
    <row r="26" spans="1:17" x14ac:dyDescent="0.25">
      <c r="D26" s="7"/>
      <c r="E26" s="5"/>
      <c r="F26" s="5"/>
      <c r="G26" s="7"/>
      <c r="H26" s="6"/>
      <c r="N26" s="3"/>
      <c r="O26" s="3"/>
      <c r="P26" s="7"/>
      <c r="Q26" s="7"/>
    </row>
    <row r="27" spans="1:17" x14ac:dyDescent="0.25">
      <c r="D27" s="7"/>
      <c r="E27" s="5"/>
      <c r="F27" s="5"/>
      <c r="G27" s="7"/>
      <c r="H27" s="6"/>
      <c r="N27" s="3"/>
      <c r="O27" s="3"/>
      <c r="P27" s="7"/>
      <c r="Q27" s="7"/>
    </row>
    <row r="28" spans="1:17" x14ac:dyDescent="0.25">
      <c r="D28" s="7"/>
      <c r="E28" s="5"/>
      <c r="F28" s="5"/>
      <c r="G28" s="7"/>
      <c r="H28" s="6"/>
      <c r="N28" s="3"/>
      <c r="O28" s="3"/>
      <c r="P28" s="7"/>
      <c r="Q28" s="7"/>
    </row>
    <row r="29" spans="1:17" x14ac:dyDescent="0.25">
      <c r="D29" s="7"/>
      <c r="E29" s="5"/>
      <c r="F29" s="5"/>
      <c r="G29" s="7"/>
      <c r="H29" s="6"/>
      <c r="N29" s="3"/>
      <c r="O29" s="3"/>
      <c r="P29" s="7"/>
      <c r="Q29" s="7"/>
    </row>
    <row r="30" spans="1:17" x14ac:dyDescent="0.25">
      <c r="D30" s="7"/>
      <c r="E30" s="5"/>
      <c r="F30" s="5"/>
      <c r="G30" s="7"/>
      <c r="H30" s="6"/>
      <c r="N30" s="3"/>
      <c r="O30" s="3"/>
      <c r="P30" s="7"/>
      <c r="Q30" s="7"/>
    </row>
    <row r="31" spans="1:17" x14ac:dyDescent="0.25">
      <c r="D31" s="7"/>
      <c r="E31" s="5"/>
      <c r="F31" s="5"/>
      <c r="G31" s="7"/>
      <c r="H31" s="6"/>
      <c r="N31" s="3"/>
      <c r="O31" s="3"/>
      <c r="P31" s="7"/>
      <c r="Q31" s="7"/>
    </row>
    <row r="32" spans="1:17" x14ac:dyDescent="0.25">
      <c r="D32" s="7"/>
      <c r="E32" s="5"/>
      <c r="F32" s="5"/>
      <c r="G32" s="7"/>
      <c r="H32" s="6"/>
      <c r="N32" s="3"/>
      <c r="O32" s="3"/>
      <c r="P32" s="7"/>
      <c r="Q32" s="7"/>
    </row>
    <row r="33" spans="4:17" x14ac:dyDescent="0.25">
      <c r="D33" s="7"/>
      <c r="E33" s="5"/>
      <c r="F33" s="5"/>
      <c r="G33" s="7"/>
      <c r="H33" s="6"/>
      <c r="N33" s="3"/>
      <c r="O33" s="3"/>
      <c r="P33" s="7"/>
      <c r="Q33" s="7"/>
    </row>
    <row r="34" spans="4:17" x14ac:dyDescent="0.25">
      <c r="D34" s="7"/>
      <c r="E34" s="5"/>
      <c r="F34" s="5"/>
      <c r="G34" s="7"/>
      <c r="H34" s="6"/>
      <c r="N34" s="3"/>
      <c r="O34" s="3"/>
      <c r="P34" s="7"/>
      <c r="Q34" s="7"/>
    </row>
    <row r="35" spans="4:17" x14ac:dyDescent="0.25">
      <c r="D35" s="7"/>
      <c r="E35" s="5"/>
      <c r="F35" s="5"/>
      <c r="G35" s="7"/>
      <c r="H35" s="6"/>
      <c r="N35" s="3"/>
      <c r="O35" s="3"/>
      <c r="P35" s="7"/>
      <c r="Q35" s="7"/>
    </row>
    <row r="36" spans="4:17" x14ac:dyDescent="0.25">
      <c r="D36" s="7"/>
      <c r="E36" s="5"/>
      <c r="F36" s="5"/>
      <c r="G36" s="7"/>
      <c r="H36" s="6"/>
      <c r="N36" s="3"/>
      <c r="O36" s="3"/>
      <c r="P36" s="7"/>
      <c r="Q36" s="7"/>
    </row>
    <row r="37" spans="4:17" x14ac:dyDescent="0.25">
      <c r="D37" s="7"/>
      <c r="E37" s="5"/>
      <c r="F37" s="5"/>
      <c r="G37" s="7"/>
      <c r="H37" s="6"/>
      <c r="N37" s="3"/>
      <c r="O37" s="3"/>
      <c r="P37" s="7"/>
      <c r="Q37" s="7"/>
    </row>
    <row r="38" spans="4:17" x14ac:dyDescent="0.25">
      <c r="D38" s="7"/>
      <c r="E38" s="5"/>
      <c r="F38" s="5"/>
      <c r="G38" s="7"/>
      <c r="H38" s="6"/>
      <c r="N38" s="3"/>
      <c r="O38" s="3"/>
      <c r="P38" s="7"/>
      <c r="Q38" s="7"/>
    </row>
    <row r="39" spans="4:17" x14ac:dyDescent="0.25">
      <c r="D39" s="7"/>
      <c r="E39" s="5"/>
      <c r="F39" s="5"/>
      <c r="G39" s="7"/>
      <c r="H39" s="6"/>
      <c r="N39" s="3"/>
      <c r="O39" s="3"/>
      <c r="P39" s="7"/>
      <c r="Q39" s="7"/>
    </row>
    <row r="40" spans="4:17" x14ac:dyDescent="0.25">
      <c r="D40" s="7"/>
      <c r="E40" s="5"/>
      <c r="F40" s="5"/>
      <c r="G40" s="7"/>
      <c r="H40" s="6"/>
      <c r="N40" s="3"/>
      <c r="O40" s="3"/>
      <c r="P40" s="7"/>
      <c r="Q40" s="7"/>
    </row>
    <row r="41" spans="4:17" x14ac:dyDescent="0.25">
      <c r="D41" s="7"/>
      <c r="E41" s="5"/>
      <c r="F41" s="5"/>
      <c r="G41" s="7"/>
      <c r="H41" s="6"/>
      <c r="N41" s="3"/>
      <c r="O41" s="3"/>
      <c r="P41" s="7"/>
      <c r="Q41" s="7"/>
    </row>
    <row r="42" spans="4:17" x14ac:dyDescent="0.25">
      <c r="D42" s="7"/>
      <c r="E42" s="5"/>
      <c r="F42" s="5"/>
      <c r="G42" s="7"/>
      <c r="H42" s="6"/>
      <c r="N42" s="3"/>
      <c r="O42" s="3"/>
      <c r="P42" s="7"/>
      <c r="Q42" s="7"/>
    </row>
    <row r="43" spans="4:17" x14ac:dyDescent="0.25">
      <c r="D43" s="7"/>
      <c r="E43" s="5"/>
      <c r="F43" s="5"/>
      <c r="G43" s="7"/>
      <c r="H43" s="6"/>
      <c r="N43" s="3"/>
      <c r="O43" s="3"/>
      <c r="P43" s="7"/>
      <c r="Q43" s="7"/>
    </row>
    <row r="44" spans="4:17" x14ac:dyDescent="0.25">
      <c r="D44" s="7"/>
      <c r="E44" s="5"/>
      <c r="F44" s="5"/>
      <c r="G44" s="7"/>
      <c r="H44" s="6"/>
      <c r="N44" s="3"/>
      <c r="O44" s="3"/>
      <c r="P44" s="7"/>
      <c r="Q44" s="7"/>
    </row>
    <row r="45" spans="4:17" x14ac:dyDescent="0.25">
      <c r="D45" s="7"/>
      <c r="E45" s="5"/>
      <c r="F45" s="5"/>
      <c r="G45" s="7"/>
      <c r="H45" s="6"/>
      <c r="N45" s="3"/>
      <c r="O45" s="3"/>
      <c r="P45" s="7"/>
      <c r="Q45" s="7"/>
    </row>
    <row r="46" spans="4:17" x14ac:dyDescent="0.25">
      <c r="D46" s="7"/>
      <c r="E46" s="5"/>
      <c r="F46" s="5"/>
      <c r="G46" s="7"/>
      <c r="H46" s="6"/>
      <c r="N46" s="3"/>
      <c r="O46" s="3"/>
      <c r="P46" s="7"/>
      <c r="Q46" s="7"/>
    </row>
    <row r="47" spans="4:17" x14ac:dyDescent="0.25">
      <c r="D47" s="7"/>
      <c r="E47" s="5"/>
      <c r="F47" s="5"/>
      <c r="G47" s="7"/>
      <c r="H47" s="6"/>
      <c r="N47" s="3"/>
      <c r="O47" s="3"/>
      <c r="P47" s="7"/>
      <c r="Q47" s="7"/>
    </row>
    <row r="48" spans="4:17" x14ac:dyDescent="0.25">
      <c r="D48" s="7"/>
      <c r="E48" s="5"/>
      <c r="F48" s="5"/>
      <c r="G48" s="7"/>
      <c r="H48" s="6"/>
      <c r="N48" s="3"/>
      <c r="O48" s="3"/>
      <c r="P48" s="7"/>
      <c r="Q48" s="7"/>
    </row>
    <row r="49" spans="4:17" x14ac:dyDescent="0.25">
      <c r="D49" s="7"/>
      <c r="E49" s="5"/>
      <c r="F49" s="5"/>
      <c r="G49" s="7"/>
      <c r="H49" s="6"/>
      <c r="N49" s="3"/>
      <c r="O49" s="3"/>
      <c r="P49" s="7"/>
      <c r="Q49" s="7"/>
    </row>
    <row r="50" spans="4:17" x14ac:dyDescent="0.25">
      <c r="D50" s="7"/>
      <c r="E50" s="5"/>
      <c r="F50" s="5"/>
      <c r="G50" s="7"/>
      <c r="H50" s="6"/>
      <c r="N50" s="3"/>
      <c r="O50" s="3"/>
      <c r="P50" s="7"/>
      <c r="Q50" s="7"/>
    </row>
    <row r="51" spans="4:17" x14ac:dyDescent="0.25">
      <c r="D51" s="7"/>
      <c r="E51" s="5"/>
      <c r="F51" s="5"/>
      <c r="G51" s="7"/>
      <c r="H51" s="6"/>
      <c r="N51" s="3"/>
      <c r="O51" s="3"/>
      <c r="P51" s="7"/>
      <c r="Q51" s="7"/>
    </row>
    <row r="52" spans="4:17" x14ac:dyDescent="0.25">
      <c r="D52" s="7"/>
      <c r="E52" s="5"/>
      <c r="F52" s="5"/>
      <c r="G52" s="7"/>
      <c r="H52" s="6"/>
      <c r="N52" s="3"/>
      <c r="O52" s="3"/>
      <c r="P52" s="7"/>
      <c r="Q52" s="7"/>
    </row>
    <row r="53" spans="4:17" x14ac:dyDescent="0.25">
      <c r="D53" s="7"/>
      <c r="E53" s="5"/>
      <c r="F53" s="5"/>
      <c r="G53" s="7"/>
      <c r="H53" s="6"/>
      <c r="N53" s="3"/>
      <c r="O53" s="3"/>
      <c r="P53" s="7"/>
      <c r="Q53" s="7"/>
    </row>
    <row r="54" spans="4:17" x14ac:dyDescent="0.25">
      <c r="D54" s="7"/>
      <c r="E54" s="5"/>
      <c r="F54" s="5"/>
      <c r="G54" s="7"/>
      <c r="H54" s="6"/>
      <c r="N54" s="3"/>
      <c r="O54" s="3"/>
      <c r="P54" s="7"/>
      <c r="Q54" s="7"/>
    </row>
    <row r="55" spans="4:17" x14ac:dyDescent="0.25">
      <c r="D55" s="7"/>
      <c r="E55" s="5"/>
      <c r="F55" s="5"/>
      <c r="G55" s="7"/>
      <c r="H55" s="6"/>
      <c r="N55" s="3"/>
      <c r="O55" s="3"/>
      <c r="P55" s="7"/>
      <c r="Q55" s="7"/>
    </row>
    <row r="56" spans="4:17" x14ac:dyDescent="0.25">
      <c r="D56" s="7"/>
      <c r="E56" s="5"/>
      <c r="F56" s="5"/>
      <c r="G56" s="7"/>
      <c r="H56" s="6"/>
      <c r="N56" s="3"/>
      <c r="O56" s="3"/>
      <c r="P56" s="7"/>
      <c r="Q56" s="7"/>
    </row>
    <row r="57" spans="4:17" x14ac:dyDescent="0.25">
      <c r="D57" s="7"/>
      <c r="E57" s="5"/>
      <c r="F57" s="5"/>
      <c r="G57" s="7"/>
      <c r="H57" s="6"/>
      <c r="N57" s="3"/>
      <c r="O57" s="3"/>
      <c r="P57" s="7"/>
      <c r="Q57" s="7"/>
    </row>
    <row r="58" spans="4:17" x14ac:dyDescent="0.25">
      <c r="D58" s="7"/>
      <c r="E58" s="5"/>
      <c r="F58" s="5"/>
      <c r="G58" s="7"/>
      <c r="H58" s="6"/>
      <c r="N58" s="3"/>
      <c r="O58" s="3"/>
      <c r="P58" s="7"/>
      <c r="Q58" s="7"/>
    </row>
    <row r="59" spans="4:17" x14ac:dyDescent="0.25">
      <c r="D59" s="7"/>
      <c r="E59" s="5"/>
      <c r="F59" s="5"/>
      <c r="G59" s="7"/>
      <c r="H59" s="6"/>
      <c r="N59" s="3"/>
      <c r="O59" s="3"/>
      <c r="P59" s="7"/>
      <c r="Q59" s="7"/>
    </row>
    <row r="60" spans="4:17" x14ac:dyDescent="0.25">
      <c r="D60" s="7"/>
      <c r="E60" s="5"/>
      <c r="F60" s="5"/>
      <c r="G60" s="7"/>
      <c r="H60" s="6"/>
      <c r="N60" s="3"/>
      <c r="O60" s="3"/>
      <c r="P60" s="7"/>
      <c r="Q60" s="7"/>
    </row>
    <row r="61" spans="4:17" x14ac:dyDescent="0.25">
      <c r="D61" s="7"/>
      <c r="E61" s="5"/>
      <c r="F61" s="5"/>
      <c r="G61" s="7"/>
      <c r="H61" s="6"/>
      <c r="N61" s="3"/>
      <c r="O61" s="3"/>
      <c r="P61" s="7"/>
      <c r="Q61" s="7"/>
    </row>
    <row r="62" spans="4:17" x14ac:dyDescent="0.25">
      <c r="D62" s="7"/>
      <c r="E62" s="5"/>
      <c r="F62" s="5"/>
      <c r="G62" s="7"/>
      <c r="H62" s="6"/>
      <c r="N62" s="3"/>
      <c r="O62" s="3"/>
      <c r="P62" s="7"/>
      <c r="Q62" s="7"/>
    </row>
    <row r="63" spans="4:17" x14ac:dyDescent="0.25">
      <c r="D63" s="7"/>
      <c r="E63" s="5"/>
      <c r="F63" s="5"/>
      <c r="G63" s="7"/>
      <c r="H63" s="6"/>
      <c r="N63" s="3"/>
      <c r="O63" s="3"/>
      <c r="P63" s="7"/>
      <c r="Q63" s="7"/>
    </row>
    <row r="64" spans="4:17" x14ac:dyDescent="0.25">
      <c r="D64" s="7"/>
      <c r="E64" s="5"/>
      <c r="F64" s="5"/>
      <c r="G64" s="7"/>
      <c r="H64" s="6"/>
      <c r="N64" s="3"/>
      <c r="O64" s="3"/>
      <c r="P64" s="7"/>
      <c r="Q64" s="7"/>
    </row>
    <row r="65" spans="4:17" x14ac:dyDescent="0.25">
      <c r="D65" s="7"/>
      <c r="E65" s="5"/>
      <c r="F65" s="5"/>
      <c r="G65" s="7"/>
      <c r="H65" s="6"/>
      <c r="N65" s="3"/>
      <c r="O65" s="3"/>
      <c r="P65" s="7"/>
      <c r="Q65" s="7"/>
    </row>
    <row r="66" spans="4:17" x14ac:dyDescent="0.25">
      <c r="D66" s="7"/>
      <c r="E66" s="5"/>
      <c r="F66" s="5"/>
      <c r="G66" s="7"/>
      <c r="H66" s="6"/>
      <c r="N66" s="3"/>
      <c r="O66" s="3"/>
      <c r="P66" s="7"/>
      <c r="Q66" s="7"/>
    </row>
    <row r="67" spans="4:17" x14ac:dyDescent="0.25">
      <c r="D67" s="7"/>
      <c r="E67" s="5"/>
      <c r="F67" s="5"/>
      <c r="G67" s="7"/>
      <c r="H67" s="6"/>
      <c r="N67" s="3"/>
      <c r="O67" s="3"/>
      <c r="P67" s="7"/>
      <c r="Q67" s="7"/>
    </row>
    <row r="68" spans="4:17" x14ac:dyDescent="0.25">
      <c r="D68" s="7"/>
      <c r="E68" s="5"/>
      <c r="F68" s="5"/>
      <c r="G68" s="7"/>
      <c r="H68" s="6"/>
      <c r="N68" s="3"/>
      <c r="O68" s="3"/>
      <c r="P68" s="7"/>
      <c r="Q68" s="7"/>
    </row>
    <row r="69" spans="4:17" x14ac:dyDescent="0.25">
      <c r="D69" s="7"/>
      <c r="E69" s="5"/>
      <c r="F69" s="5"/>
      <c r="G69" s="7"/>
      <c r="H69" s="6"/>
      <c r="N69" s="3"/>
      <c r="O69" s="3"/>
      <c r="P69" s="7"/>
      <c r="Q69" s="7"/>
    </row>
    <row r="70" spans="4:17" x14ac:dyDescent="0.25">
      <c r="D70" s="7"/>
      <c r="E70" s="5"/>
      <c r="F70" s="5"/>
      <c r="G70" s="7"/>
      <c r="H70" s="6"/>
      <c r="N70" s="3"/>
      <c r="O70" s="3"/>
      <c r="P70" s="7"/>
      <c r="Q70" s="7"/>
    </row>
    <row r="71" spans="4:17" x14ac:dyDescent="0.25">
      <c r="D71" s="7"/>
      <c r="E71" s="5"/>
      <c r="F71" s="5"/>
      <c r="G71" s="7"/>
      <c r="H71" s="6"/>
      <c r="N71" s="3"/>
      <c r="O71" s="3"/>
      <c r="P71" s="7"/>
      <c r="Q71" s="7"/>
    </row>
    <row r="72" spans="4:17" x14ac:dyDescent="0.25">
      <c r="D72" s="7"/>
      <c r="E72" s="5"/>
      <c r="F72" s="5"/>
      <c r="G72" s="7"/>
      <c r="H72" s="6"/>
      <c r="N72" s="3"/>
      <c r="O72" s="3"/>
      <c r="P72" s="7"/>
      <c r="Q72" s="7"/>
    </row>
    <row r="73" spans="4:17" x14ac:dyDescent="0.25">
      <c r="D73" s="7"/>
      <c r="E73" s="5"/>
      <c r="F73" s="5"/>
      <c r="G73" s="7"/>
      <c r="H73" s="6"/>
      <c r="N73" s="3"/>
      <c r="O73" s="3"/>
      <c r="P73" s="7"/>
      <c r="Q73" s="7"/>
    </row>
    <row r="74" spans="4:17" x14ac:dyDescent="0.25">
      <c r="D74" s="7"/>
      <c r="E74" s="5"/>
      <c r="F74" s="5"/>
      <c r="G74" s="7"/>
      <c r="H74" s="6"/>
      <c r="N74" s="3"/>
      <c r="O74" s="3"/>
      <c r="P74" s="7"/>
      <c r="Q74" s="7"/>
    </row>
    <row r="75" spans="4:17" x14ac:dyDescent="0.25">
      <c r="D75" s="7"/>
      <c r="E75" s="5"/>
      <c r="F75" s="5"/>
      <c r="G75" s="7"/>
      <c r="H75" s="6"/>
      <c r="N75" s="3"/>
      <c r="O75" s="3"/>
      <c r="P75" s="7"/>
      <c r="Q75" s="7"/>
    </row>
    <row r="76" spans="4:17" x14ac:dyDescent="0.25">
      <c r="D76" s="7"/>
      <c r="E76" s="5"/>
      <c r="F76" s="5"/>
      <c r="G76" s="7"/>
      <c r="H76" s="6"/>
      <c r="N76" s="3"/>
      <c r="O76" s="3"/>
      <c r="P76" s="7"/>
      <c r="Q76" s="7"/>
    </row>
    <row r="77" spans="4:17" x14ac:dyDescent="0.25">
      <c r="D77" s="7"/>
      <c r="E77" s="5"/>
      <c r="F77" s="5"/>
      <c r="G77" s="7"/>
      <c r="H77" s="6"/>
      <c r="N77" s="3"/>
      <c r="O77" s="3"/>
      <c r="P77" s="7"/>
      <c r="Q77" s="7"/>
    </row>
    <row r="78" spans="4:17" x14ac:dyDescent="0.25">
      <c r="D78" s="7"/>
      <c r="E78" s="5"/>
      <c r="F78" s="5"/>
      <c r="G78" s="7"/>
      <c r="H78" s="6"/>
      <c r="N78" s="3"/>
      <c r="O78" s="3"/>
      <c r="P78" s="7"/>
      <c r="Q78" s="7"/>
    </row>
    <row r="79" spans="4:17" x14ac:dyDescent="0.25">
      <c r="D79" s="7"/>
      <c r="E79" s="5"/>
      <c r="F79" s="5"/>
      <c r="G79" s="7"/>
      <c r="H79" s="6"/>
      <c r="N79" s="3"/>
      <c r="O79" s="3"/>
      <c r="P79" s="7"/>
      <c r="Q79" s="7"/>
    </row>
    <row r="80" spans="4:17" x14ac:dyDescent="0.25">
      <c r="D80" s="7"/>
      <c r="E80" s="5"/>
      <c r="F80" s="5"/>
      <c r="G80" s="7"/>
      <c r="H80" s="6"/>
      <c r="N80" s="3"/>
      <c r="O80" s="3"/>
      <c r="P80" s="7"/>
      <c r="Q80" s="7"/>
    </row>
    <row r="81" spans="4:17" x14ac:dyDescent="0.25">
      <c r="D81" s="7"/>
      <c r="E81" s="5"/>
      <c r="F81" s="5"/>
      <c r="G81" s="7"/>
      <c r="H81" s="6"/>
      <c r="N81" s="3"/>
      <c r="O81" s="3"/>
      <c r="P81" s="7"/>
      <c r="Q81" s="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381DAA9-3469-4598-971B-F9CB23445BC6}">
          <x14:formula1>
            <xm:f>events!$B$2:$B$5</xm:f>
          </x14:formula1>
          <xm:sqref>A2:A17</xm:sqref>
        </x14:dataValidation>
        <x14:dataValidation type="list" allowBlank="1" showInputMessage="1" showErrorMessage="1" xr:uid="{0EB70766-6FCE-42CC-86E9-E06C86ED107A}">
          <x14:formula1>
            <xm:f>salaries!$D$2:$D$7</xm:f>
          </x14:formula1>
          <xm:sqref>B2:B17</xm:sqref>
        </x14:dataValidation>
        <x14:dataValidation type="list" allowBlank="1" showInputMessage="1" showErrorMessage="1" xr:uid="{D0E04895-01FF-4958-A947-112DBCE9A9AA}">
          <x14:formula1>
            <xm:f>professions!$B$2:$B$8</xm:f>
          </x14:formula1>
          <xm:sqref>C2:C17</xm:sqref>
        </x14:dataValidation>
        <x14:dataValidation type="list" allowBlank="1" showInputMessage="1" showErrorMessage="1" xr:uid="{81295BD0-74B3-4A31-8E22-1BF924F3BE07}">
          <x14:formula1>
            <xm:f>taches!$B$2:$B$11</xm:f>
          </x14:formula1>
          <xm:sqref>D2:D17</xm:sqref>
        </x14:dataValidation>
        <x14:dataValidation type="list" allowBlank="1" showInputMessage="1" showErrorMessage="1" xr:uid="{61BC7987-018D-4A30-B0F0-A70E0DFAEBE1}">
          <x14:formula1>
            <xm:f>listes!$B$2:$B$97</xm:f>
          </x14:formula1>
          <xm:sqref>E2:F17</xm:sqref>
        </x14:dataValidation>
        <x14:dataValidation type="list" allowBlank="1" showInputMessage="1" showErrorMessage="1" xr:uid="{3C31AC35-2E80-446E-80FD-EB8098DA5D4C}">
          <x14:formula1>
            <xm:f>listes!$D$2:$D$5</xm:f>
          </x14:formula1>
          <xm:sqref>G2:G17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taches</vt:lpstr>
      <vt:lpstr>events</vt:lpstr>
      <vt:lpstr>salaries</vt:lpstr>
      <vt:lpstr>analytiques</vt:lpstr>
      <vt:lpstr>listes</vt:lpstr>
      <vt:lpstr>professions</vt:lpstr>
      <vt:lpstr>planning</vt:lpstr>
      <vt:lpstr>formDB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2024-01-31T17:14:25Z</dcterms:modified>
</cp:coreProperties>
</file>