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CB3EF2CD-C554-4277-BEAE-8AC71784640E}" xr6:coauthVersionLast="47" xr6:coauthVersionMax="47" xr10:uidLastSave="{00000000-0000-0000-0000-000000000000}"/>
  <bookViews>
    <workbookView xWindow="-120" yWindow="-120" windowWidth="25440" windowHeight="1539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_xlnm._FilterDatabase" localSheetId="7" hidden="1">programmation!$B$1:$B$15</definedName>
    <definedName name="_xlnm.Extract" localSheetId="7">programmation!$G$1</definedName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8" l="1"/>
  <c r="C20" i="8"/>
  <c r="K20" i="8"/>
  <c r="B19" i="8"/>
  <c r="C19" i="8"/>
  <c r="K19" i="8"/>
  <c r="B18" i="8"/>
  <c r="C18" i="8"/>
  <c r="K18" i="8"/>
  <c r="B17" i="8"/>
  <c r="C17" i="8"/>
  <c r="K17" i="8"/>
  <c r="B16" i="8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<sst xmlns="http://schemas.openxmlformats.org/spreadsheetml/2006/main" count="239" uniqueCount="140">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</sst>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984250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1025525</xdr:colOff>
      <xdr:row>0</xdr:row>
      <xdr:rowOff>6350</xdr:rowOff>
    </xdr:from>
    <xdr:to>
      <xdr:col>15</xdr:col>
      <xdr:colOff>635000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20" totalsRowShown="0" headerRowDxfId="17" dataDxfId="16">
  <autoFilter ref="A7:L20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B10" sqref="B10"/>
    </sheetView>
  </sheetViews>
  <sheetFormatPr baseColWidth="10" defaultRowHeight="15" x14ac:dyDescent="0.25"/>
  <cols>
    <col min="1" max="1" width="11" style="3" customWidth="1"/>
    <col min="2" max="2" width="22.7109375" style="3" bestFit="1" customWidth="1"/>
    <col min="3" max="3" width="10.85546875" style="3"/>
    <col min="7" max="7" width="23.140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P20"/>
  <sheetViews>
    <sheetView tabSelected="1" zoomScaleNormal="100" workbookViewId="0">
      <pane ySplit="7" topLeftCell="A8" activePane="bottomLeft" state="frozen"/>
      <selection pane="bottomLeft" activeCell="H26" sqref="H26"/>
    </sheetView>
  </sheetViews>
  <sheetFormatPr baseColWidth="10" defaultRowHeight="15" x14ac:dyDescent="0.25"/>
  <cols>
    <col min="1" max="1" width="8.140625" style="3" bestFit="1" customWidth="1"/>
    <col min="2" max="2" width="4.85546875" style="3" bestFit="1" customWidth="1"/>
    <col min="3" max="3" width="6" style="3" bestFit="1" customWidth="1"/>
    <col min="4" max="4" width="16.42578125" style="3" customWidth="1"/>
    <col min="5" max="5" width="18.5703125" style="3" customWidth="1"/>
    <col min="6" max="6" width="16.4257812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2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 t="shared" ref="K12:K17" si="1">ABS(I12-H12-J12)</f>
        <v>0</v>
      </c>
      <c r="L12" s="6"/>
    </row>
    <row r="13" spans="1:14" x14ac:dyDescent="0.2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 t="shared" si="1"/>
        <v>0</v>
      </c>
      <c r="L13" s="6"/>
    </row>
    <row r="14" spans="1:14" x14ac:dyDescent="0.2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 t="shared" si="1"/>
        <v>0</v>
      </c>
      <c r="L14" s="6"/>
    </row>
    <row r="15" spans="1:14" x14ac:dyDescent="0.2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 t="shared" si="1"/>
        <v>0</v>
      </c>
      <c r="L15" s="6"/>
    </row>
    <row r="16" spans="1:14" x14ac:dyDescent="0.25">
      <c r="A16" s="7">
        <v>45338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0.625</v>
      </c>
      <c r="I16" s="5">
        <v>0.75</v>
      </c>
      <c r="J16" s="5"/>
      <c r="K16" s="5">
        <f t="shared" si="1"/>
        <v>0.125</v>
      </c>
      <c r="L16" s="6"/>
    </row>
    <row r="17" spans="1:16" x14ac:dyDescent="0.25">
      <c r="A17" s="7">
        <v>45343</v>
      </c>
      <c r="B17" s="6">
        <f>MONTH(Tableau4[[#This Row],[date]])</f>
        <v>2</v>
      </c>
      <c r="C17" s="6">
        <f>YEAR(Tableau4[[#This Row],[date]])</f>
        <v>2024</v>
      </c>
      <c r="D17" s="3" t="s">
        <v>80</v>
      </c>
      <c r="E17" s="3" t="s">
        <v>23</v>
      </c>
      <c r="F17" s="3" t="s">
        <v>64</v>
      </c>
      <c r="G17" s="3" t="s">
        <v>60</v>
      </c>
      <c r="H17" s="5">
        <v>0.625</v>
      </c>
      <c r="I17" s="5">
        <v>0.875</v>
      </c>
      <c r="J17" s="5"/>
      <c r="K17" s="5">
        <f t="shared" si="1"/>
        <v>0.25</v>
      </c>
      <c r="L17" s="6"/>
      <c r="P17" s="15"/>
    </row>
    <row r="18" spans="1:16" x14ac:dyDescent="0.25">
      <c r="A18" s="7">
        <v>45337</v>
      </c>
      <c r="B18" s="6">
        <f>MONTH(Tableau4[[#This Row],[date]])</f>
        <v>2</v>
      </c>
      <c r="C18" s="6">
        <f>YEAR(Tableau4[[#This Row],[date]])</f>
        <v>2024</v>
      </c>
      <c r="D18" s="3" t="s">
        <v>77</v>
      </c>
      <c r="E18" s="3" t="s">
        <v>119</v>
      </c>
      <c r="F18" s="3" t="s">
        <v>64</v>
      </c>
      <c r="G18" s="3" t="s">
        <v>60</v>
      </c>
      <c r="H18" s="5">
        <v>0.625</v>
      </c>
      <c r="I18" s="5">
        <v>0.75</v>
      </c>
      <c r="J18" s="5"/>
      <c r="K18" s="5">
        <f>ABS(I18-H18-J18)</f>
        <v>0.125</v>
      </c>
      <c r="L18" s="6"/>
    </row>
    <row r="19" spans="1:16" x14ac:dyDescent="0.25">
      <c r="A19" s="7">
        <v>45292</v>
      </c>
      <c r="B19" s="6">
        <f>MONTH(Tableau4[[#This Row],[date]])</f>
        <v>1</v>
      </c>
      <c r="C19" s="6">
        <f>YEAR(Tableau4[[#This Row],[date]])</f>
        <v>2024</v>
      </c>
      <c r="D19" s="3" t="s">
        <v>77</v>
      </c>
      <c r="E19" s="3" t="s">
        <v>119</v>
      </c>
      <c r="F19" s="3" t="s">
        <v>64</v>
      </c>
      <c r="G19" s="3" t="s">
        <v>60</v>
      </c>
      <c r="H19" s="5">
        <v>0.625</v>
      </c>
      <c r="I19" s="5">
        <v>0.75</v>
      </c>
      <c r="J19" s="5"/>
      <c r="K19" s="5">
        <f>ABS(I19-H19-J19)</f>
        <v>0.125</v>
      </c>
      <c r="L19" s="6"/>
    </row>
    <row r="20" spans="1:16" x14ac:dyDescent="0.25">
      <c r="A20" s="7">
        <v>45292</v>
      </c>
      <c r="B20" s="6">
        <f>MONTH(Tableau4[[#This Row],[date]])</f>
        <v>1</v>
      </c>
      <c r="C20" s="6">
        <f>YEAR(Tableau4[[#This Row],[date]])</f>
        <v>2024</v>
      </c>
      <c r="D20" s="3" t="s">
        <v>77</v>
      </c>
      <c r="E20" s="3" t="s">
        <v>119</v>
      </c>
      <c r="F20" s="3" t="s">
        <v>64</v>
      </c>
      <c r="G20" s="3" t="s">
        <v>60</v>
      </c>
      <c r="H20" s="5">
        <v>0.625</v>
      </c>
      <c r="I20" s="5">
        <v>0.75</v>
      </c>
      <c r="J20" s="5"/>
      <c r="K20" s="5">
        <f>ABS(I20-H20-J20)</f>
        <v>0.125</v>
      </c>
      <c r="L20" s="6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H8:I20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D8:D20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F8:F20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E8:E20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G8:G20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J8:J20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U15"/>
  <sheetViews>
    <sheetView workbookViewId="0">
      <pane ySplit="1" topLeftCell="A2" activePane="bottomLeft" state="frozen"/>
      <selection pane="bottomLeft" activeCell="I18" sqref="I18"/>
    </sheetView>
  </sheetViews>
  <sheetFormatPr baseColWidth="10" defaultRowHeight="15" x14ac:dyDescent="0.25"/>
  <cols>
    <col min="1" max="1" width="13.5703125" style="3" customWidth="1"/>
    <col min="2" max="2" width="9.42578125" style="7" customWidth="1"/>
    <col min="3" max="3" width="13.5703125" style="5" customWidth="1"/>
    <col min="7" max="7" width="11.42578125" style="3"/>
    <col min="8" max="8" width="11.42578125" style="7"/>
    <col min="9" max="9" width="11.42578125" style="5"/>
  </cols>
  <sheetData>
    <row r="1" spans="1:21" x14ac:dyDescent="0.25">
      <c r="A1" s="3" t="s">
        <v>137</v>
      </c>
      <c r="B1" s="7" t="s">
        <v>108</v>
      </c>
      <c r="C1" s="3" t="s">
        <v>138</v>
      </c>
      <c r="G1" s="7" t="s">
        <v>137</v>
      </c>
      <c r="U1" s="7"/>
    </row>
    <row r="2" spans="1:21" x14ac:dyDescent="0.25">
      <c r="A2" s="3" t="s">
        <v>77</v>
      </c>
      <c r="B2" s="7">
        <v>45334</v>
      </c>
      <c r="C2" s="5">
        <v>0.625</v>
      </c>
      <c r="G2" s="7" t="s">
        <v>77</v>
      </c>
      <c r="H2" s="7">
        <v>45334</v>
      </c>
      <c r="I2" s="5">
        <v>0.625</v>
      </c>
      <c r="N2" s="14" t="s">
        <v>77</v>
      </c>
      <c r="U2" s="7"/>
    </row>
    <row r="3" spans="1:21" x14ac:dyDescent="0.25">
      <c r="A3" s="3" t="s">
        <v>77</v>
      </c>
      <c r="B3" s="7">
        <v>45335</v>
      </c>
      <c r="C3" s="5">
        <v>0.625</v>
      </c>
      <c r="G3" s="7" t="s">
        <v>77</v>
      </c>
      <c r="H3" s="7">
        <v>45335</v>
      </c>
      <c r="I3" s="5">
        <v>0.625</v>
      </c>
      <c r="N3" s="14" t="s">
        <v>79</v>
      </c>
      <c r="U3" s="7"/>
    </row>
    <row r="4" spans="1:21" x14ac:dyDescent="0.25">
      <c r="A4" s="3" t="s">
        <v>77</v>
      </c>
      <c r="B4" s="7">
        <v>45336</v>
      </c>
      <c r="C4" s="5">
        <v>0.625</v>
      </c>
      <c r="G4" s="7" t="s">
        <v>77</v>
      </c>
      <c r="H4" s="7">
        <v>45336</v>
      </c>
      <c r="I4" s="5">
        <v>0.625</v>
      </c>
      <c r="N4" s="14" t="s">
        <v>80</v>
      </c>
      <c r="U4" s="7"/>
    </row>
    <row r="5" spans="1:21" x14ac:dyDescent="0.25">
      <c r="A5" s="3" t="s">
        <v>77</v>
      </c>
      <c r="B5" s="7">
        <v>45337</v>
      </c>
      <c r="C5" s="5">
        <v>0.625</v>
      </c>
      <c r="G5" s="7" t="s">
        <v>77</v>
      </c>
      <c r="H5" s="7">
        <v>45337</v>
      </c>
      <c r="I5" s="5">
        <v>0.625</v>
      </c>
      <c r="N5" s="14"/>
      <c r="U5" s="7"/>
    </row>
    <row r="6" spans="1:21" x14ac:dyDescent="0.25">
      <c r="A6" s="3" t="s">
        <v>79</v>
      </c>
      <c r="B6" s="7">
        <v>45336</v>
      </c>
      <c r="C6" s="5">
        <v>0.625</v>
      </c>
      <c r="G6" s="7" t="s">
        <v>77</v>
      </c>
      <c r="H6" s="7">
        <v>45337</v>
      </c>
      <c r="I6" s="5">
        <v>0.58333333333333337</v>
      </c>
      <c r="N6" s="14"/>
      <c r="U6" s="7"/>
    </row>
    <row r="7" spans="1:21" x14ac:dyDescent="0.25">
      <c r="A7" s="3" t="s">
        <v>77</v>
      </c>
      <c r="B7" s="7">
        <v>45337</v>
      </c>
      <c r="C7" s="5">
        <v>0.58333333333333337</v>
      </c>
      <c r="G7" s="7" t="s">
        <v>77</v>
      </c>
      <c r="H7" s="7">
        <v>45339</v>
      </c>
      <c r="I7" s="5">
        <v>0.58333333333333337</v>
      </c>
      <c r="N7" s="14"/>
      <c r="U7" s="7"/>
    </row>
    <row r="8" spans="1:21" x14ac:dyDescent="0.25">
      <c r="A8" s="3" t="s">
        <v>77</v>
      </c>
      <c r="B8" s="7">
        <v>45339</v>
      </c>
      <c r="C8" s="5">
        <v>0.58333333333333337</v>
      </c>
      <c r="G8" s="7" t="s">
        <v>77</v>
      </c>
      <c r="H8" s="7">
        <v>45340</v>
      </c>
      <c r="I8" s="5">
        <v>0.58333333333333337</v>
      </c>
      <c r="N8" s="14"/>
      <c r="U8" s="7"/>
    </row>
    <row r="9" spans="1:21" x14ac:dyDescent="0.25">
      <c r="A9" s="3" t="s">
        <v>77</v>
      </c>
      <c r="B9" s="7">
        <v>45340</v>
      </c>
      <c r="C9" s="5">
        <v>0.58333333333333337</v>
      </c>
      <c r="G9" s="7" t="s">
        <v>77</v>
      </c>
      <c r="H9" s="7">
        <v>45346</v>
      </c>
      <c r="I9" s="5">
        <v>0.58333333333333337</v>
      </c>
      <c r="N9" s="14"/>
      <c r="U9" s="7"/>
    </row>
    <row r="10" spans="1:21" x14ac:dyDescent="0.25">
      <c r="A10" s="3" t="s">
        <v>77</v>
      </c>
      <c r="B10" s="7">
        <v>45346</v>
      </c>
      <c r="C10" s="5">
        <v>0.58333333333333337</v>
      </c>
      <c r="G10" s="7" t="s">
        <v>77</v>
      </c>
      <c r="H10" s="7">
        <v>45347</v>
      </c>
      <c r="I10" s="5">
        <v>0.58333333333333337</v>
      </c>
      <c r="N10" s="14"/>
      <c r="U10" s="7"/>
    </row>
    <row r="11" spans="1:21" x14ac:dyDescent="0.25">
      <c r="A11" s="3" t="s">
        <v>77</v>
      </c>
      <c r="B11" s="7">
        <v>45347</v>
      </c>
      <c r="C11" s="5">
        <v>0.58333333333333337</v>
      </c>
      <c r="G11" s="7" t="s">
        <v>77</v>
      </c>
      <c r="H11" s="7">
        <v>45337</v>
      </c>
      <c r="I11" s="5">
        <v>0.58333333333333337</v>
      </c>
      <c r="N11" s="14"/>
      <c r="U11" s="7"/>
    </row>
    <row r="12" spans="1:21" x14ac:dyDescent="0.25">
      <c r="A12" s="3" t="s">
        <v>80</v>
      </c>
      <c r="B12" s="7">
        <v>45342</v>
      </c>
      <c r="C12" s="5">
        <v>0.58333333333333337</v>
      </c>
      <c r="G12" s="3" t="s">
        <v>77</v>
      </c>
      <c r="H12" s="7">
        <v>45337</v>
      </c>
      <c r="I12" s="5">
        <v>0.58333333333333337</v>
      </c>
      <c r="N12" s="14"/>
    </row>
    <row r="13" spans="1:21" x14ac:dyDescent="0.25">
      <c r="A13" s="3" t="s">
        <v>80</v>
      </c>
      <c r="B13" s="7">
        <v>45343</v>
      </c>
      <c r="C13" s="5">
        <v>0.58333333333333337</v>
      </c>
      <c r="N13" s="14"/>
    </row>
    <row r="14" spans="1:21" x14ac:dyDescent="0.25">
      <c r="A14" s="3" t="s">
        <v>77</v>
      </c>
      <c r="B14" s="7">
        <v>45337</v>
      </c>
      <c r="C14" s="5">
        <v>0.58333333333333337</v>
      </c>
      <c r="N14" s="14"/>
    </row>
    <row r="15" spans="1:21" x14ac:dyDescent="0.25">
      <c r="A15" s="3" t="s">
        <v>77</v>
      </c>
      <c r="B15" s="7">
        <v>45337</v>
      </c>
      <c r="C15" s="5">
        <v>0.58333333333333337</v>
      </c>
      <c r="N1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  <vt:lpstr>programmation!Extraire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2024-02-21T11:54:34Z</dcterms:modified>
</cp:coreProperties>
</file>