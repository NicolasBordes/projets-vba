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3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51949466-FD4B-4E0D-97A4-0547CA7266F2}" xr6:coauthVersionLast="47" xr6:coauthVersionMax="47" xr10:uidLastSave="{00000000-0000-0000-0000-000000000000}"/>
  <bookViews>
    <workbookView xWindow="-120" yWindow="-120" windowWidth="25440" windowHeight="15390" tabRatio="756" activeTab="6" xr2:uid="{9A58E7EF-F0C6-4A60-94C0-A9D7EEE9FB0D}"/>
  </bookViews>
  <sheets>
    <sheet name="taches" sheetId="1" r:id="rId1"/>
    <sheet name="events" sheetId="2" r:id="rId2"/>
    <sheet name="salaries" sheetId="3" r:id="rId3"/>
    <sheet name="professions" sheetId="5" r:id="rId4"/>
    <sheet name="analytiques" sheetId="4" r:id="rId5"/>
    <sheet name="listes" sheetId="6" r:id="rId6"/>
    <sheet name="planning" sheetId="8" r:id="rId7"/>
    <sheet name="programmation" sheetId="9" r:id="rId8"/>
  </sheets>
  <functionGroups builtInGroupCount="19"/>
  <definedNames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8" l="1"/>
  <c r="C17" i="8"/>
  <c r="K17" i="8"/>
  <c r="B16" i="8"/>
  <c r="C16" i="8"/>
  <c r="K16" i="8"/>
  <c r="B15" i="8"/>
  <c r="C15" i="8"/>
  <c r="K15" i="8"/>
  <c r="B14" i="8"/>
  <c r="C14" i="8"/>
  <c r="K14" i="8"/>
  <c r="B13" i="8"/>
  <c r="C13" i="8"/>
  <c r="K13" i="8"/>
  <c r="B12" i="8"/>
  <c r="C12" i="8"/>
  <c r="K12" i="8"/>
  <c r="B9" i="8"/>
  <c r="C9" i="8"/>
  <c r="K9" i="8"/>
  <c r="B10" i="8"/>
  <c r="C10" i="8"/>
  <c r="K10" i="8"/>
  <c r="B11" i="8"/>
  <c r="C11" i="8"/>
  <c r="K11" i="8"/>
  <c r="C8" i="8"/>
  <c r="B8" i="8"/>
  <c r="K8" i="8"/>
</calcChain>
</file>

<file path=xl/sharedStrings.xml><?xml version="1.0" encoding="utf-8"?>
<sst xmlns="http://schemas.openxmlformats.org/spreadsheetml/2006/main" count="210" uniqueCount="140">
  <si>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</si>
  <si>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</si>
  <si>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</si>
  <si>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</si>
  <si>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</si>
  <si>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</si>
  <si>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</si>
  <si>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</si>
  <si>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</si>
  <si>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</si>
  <si>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</si>
  <si>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</si>
  <si>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</si>
  <si>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</si>
  <si>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</si>
  <si>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</si>
  <si>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</si>
  <si>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</si>
  <si>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</si>
  <si>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</si>
  <si>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</si>
  <si>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</si>
  <si>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</si>
  <si>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</si>
  <si>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</si>
  <si>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</si>
  <si>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</si>
  <si>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</si>
  <si>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</si>
  <si>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</si>
  <si>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</si>
  <si>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</si>
  <si>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</si>
  <si>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</si>
  <si>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</si>
  <si>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</si>
  <si>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</si>
  <si>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</si>
  <si>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</si>
  <si>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</si>
  <si>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</si>
  <si>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</si>
  <si>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</si>
  <si>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</si>
  <si>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</si>
  <si>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</si>
  <si>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</si>
  <si>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</si>
  <si>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</si>
  <si>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</si>
  <si>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</si>
  <si>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</si>
  <si>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</si>
  <si>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</si>
  <si>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</si>
  <si>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</si>
  <si>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</si>
  <si>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</si>
  <si>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</si>
  <si>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</si>
  <si>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</si>
  <si>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</si>
  <si>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</si>
  <si>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</si>
  <si>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</si>
  <si>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</si>
  <si>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</si>
  <si>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</si>
  <si>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</si>
  <si>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</si>
  <si>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</si>
  <si>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</si>
  <si>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</si>
  <si>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</si>
  <si>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</si>
  <si>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</si>
  <si>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</si>
  <si>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</si>
  <si>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</si>
  <si>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</si>
  <si>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</si>
  <si>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</si>
  <si>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</si>
  <si>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</si>
  <si>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</si>
  <si>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</si>
  <si>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</si>
  <si>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</si>
  <si>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</si>
  <si>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</si>
  <si>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</si>
  <si>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</si>
  <si>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</si>
  <si>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</si>
  <si>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</si>
  <si>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</si>
  <si>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</si>
  <si>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</si>
  <si>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</si>
  <si>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</si>
  <si>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</si>
  <si>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</si>
  <si>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</si>
  <si>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</si>
  <si>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</si>
  <si>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</si>
  <si>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</si>
  <si>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</si>
  <si>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</si>
  <si>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</si>
  <si>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</si>
  <si>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</si>
  <si>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</si>
  <si>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</si>
  <si>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</si>
  <si>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</si>
  <si>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</si>
  <si>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</si>
  <si>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ADF</t>
  </si>
  <si>
    <t>à définir</t>
  </si>
  <si>
    <t>--</t>
  </si>
  <si>
    <t>Department</t>
  </si>
  <si>
    <t>USA</t>
  </si>
  <si>
    <t>IT</t>
  </si>
  <si>
    <t>Finance</t>
  </si>
  <si>
    <t>Marketing</t>
  </si>
  <si>
    <t>Production</t>
  </si>
  <si>
    <t>Purchasing</t>
  </si>
  <si>
    <t>Countries</t>
  </si>
  <si>
    <t>Canada</t>
  </si>
  <si>
    <t>Germany</t>
  </si>
  <si>
    <t>Japan</t>
  </si>
  <si>
    <t>UK</t>
  </si>
  <si>
    <t>régieEventSon</t>
  </si>
  <si>
    <t>régieEventLum</t>
  </si>
  <si>
    <t>code GHS</t>
  </si>
  <si>
    <t>pauses</t>
  </si>
  <si>
    <t>spectacle</t>
  </si>
  <si>
    <t>horaire</t>
  </si>
  <si>
    <t>lieu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</si>
</sst>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20" fontId="4" fillId="0" borderId="0" xfId="0" applyNumberFormat="1" applyFont="1" applyAlignment="1">
      <alignment horizontal="center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55">
    <dxf>
      <numFmt numFmtId="164" formatCode="h:mm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933450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669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584200</xdr:colOff>
      <xdr:row>0</xdr:row>
      <xdr:rowOff>0</xdr:rowOff>
    </xdr:from>
    <xdr:to>
      <xdr:col>5</xdr:col>
      <xdr:colOff>984250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1025525</xdr:colOff>
      <xdr:row>0</xdr:row>
      <xdr:rowOff>6350</xdr:rowOff>
    </xdr:from>
    <xdr:to>
      <xdr:col>15</xdr:col>
      <xdr:colOff>635000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B6DD64-1973-4250-9203-0732A5C053B5}" name="tbTaches" displayName="tbTaches" ref="A1:B11" totalsRowShown="0" headerRowDxfId="54" dataDxfId="53">
  <autoFilter ref="A1:B11" xr:uid="{FCB6DD64-1973-4250-9203-0732A5C053B5}"/>
  <tableColumns count="2">
    <tableColumn id="1" xr3:uid="{72715979-7421-4A74-B251-205B63E0DC52}" name="nom court" dataDxfId="52"/>
    <tableColumn id="2" xr3:uid="{C99258CC-5DF1-4F75-AD56-200BE3BE8363}" name="nom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5F8C6-ECAE-4C26-91EA-C21C81DFBE03}" name="tbManifestations" displayName="tbManifestations" ref="A1:G5" totalsRowShown="0" headerRowDxfId="50" dataDxfId="49">
  <tableColumns count="7">
    <tableColumn id="2" xr3:uid="{2ED38BCB-3175-4500-9DD6-40AB47F301D3}" name="nom court" dataDxfId="48"/>
    <tableColumn id="7" xr3:uid="{959B2F41-3893-4B06-B461-10AC7B59B3C3}" name="nom" dataDxfId="47"/>
    <tableColumn id="3" xr3:uid="{6BE2B307-2B85-4460-8926-70ED8660A450}" name="type" dataDxfId="46"/>
    <tableColumn id="4" xr3:uid="{8448CF31-65C6-4934-AA67-5AA9548EA7E4}" name="durée live" dataDxfId="45"/>
    <tableColumn id="5" xr3:uid="{36D56357-C9FD-409F-9446-F4552849964A}" name="durée avt" dataDxfId="44"/>
    <tableColumn id="6" xr3:uid="{FFE55893-C5F2-4E32-95A9-BB8039803600}" name="durée ap." dataDxfId="43"/>
    <tableColumn id="1" xr3:uid="{7B4AAF46-9566-4536-B6A0-DE6A4C4C7081}" name="lieu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AC053C-4951-46EA-9362-48FB5945D207}" name="tbSalaries" displayName="tbSalaries" ref="A1:D7" totalsRowShown="0" headerRowDxfId="41" dataDxfId="40">
  <autoFilter ref="A1:D7" xr:uid="{49AC053C-4951-46EA-9362-48FB5945D207}"/>
  <tableColumns count="4">
    <tableColumn id="1" xr3:uid="{ABFAC10D-C51B-4BA7-A7F3-73CA6DA789C4}" name="alias" dataDxfId="39"/>
    <tableColumn id="2" xr3:uid="{48F73E05-506E-4A9D-ACA3-13E1B3DD81B9}" name="code GHS" dataDxfId="38"/>
    <tableColumn id="3" xr3:uid="{885C1B4D-7F37-4F66-A375-926AB1EAC77C}" name="nom" dataDxfId="37"/>
    <tableColumn id="4" xr3:uid="{834E321F-4F73-40C0-985C-457275B92836}" name="prénom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5D952B-D39B-4A37-896B-CE5622875524}" name="tbProfessions" displayName="tbProfessions" ref="A1:C10" totalsRowShown="0" headerRowDxfId="35" dataDxfId="34">
  <autoFilter ref="A1:C10" xr:uid="{675D952B-D39B-4A37-896B-CE5622875524}"/>
  <tableColumns count="3">
    <tableColumn id="1" xr3:uid="{02412969-855A-47F4-91A2-07B447506043}" name="libellé" dataDxfId="33"/>
    <tableColumn id="2" xr3:uid="{8FD7AE7F-1EFC-4301-996E-DB47DDF8780F}" name="taux horaire" dataDxfId="32"/>
    <tableColumn id="3" xr3:uid="{B05E8476-2712-4758-8C66-035AD9DECC91}" name="code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5C58-9147-4474-97EF-3AAD8B472940}" name="tbDepartment" displayName="tbDepartment" ref="L1:L6" totalsRowShown="0" headerRowDxfId="30" dataDxfId="29">
  <autoFilter ref="L1:L6" xr:uid="{87415C58-9147-4474-97EF-3AAD8B472940}"/>
  <tableColumns count="1">
    <tableColumn id="1" xr3:uid="{0B1B7228-2F4B-4CE2-BB2F-C894CB43241B}" name="Department" dataDxfId="2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61A09-5E1A-45AA-B2FD-F6C09FE52814}" name="tbCountries" displayName="tbCountries" ref="N1:N6" totalsRowShown="0">
  <autoFilter ref="N1:N6" xr:uid="{0E661A09-5E1A-45AA-B2FD-F6C09FE52814}"/>
  <tableColumns count="1">
    <tableColumn id="1" xr3:uid="{EE9DA63F-4663-4A75-A41E-D09470B47776}" name="Countrie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43D210-EA7B-4054-AC1C-785361DBD205}" name="tbHeures" displayName="tbHeures" ref="B1:B97" totalsRowShown="0" headerRowDxfId="27" dataDxfId="26">
  <autoFilter ref="B1:B97" xr:uid="{6843D210-EA7B-4054-AC1C-785361DBD205}"/>
  <tableColumns count="1">
    <tableColumn id="1" xr3:uid="{DC050D1B-2BA9-4B85-B938-05EFB6009B5F}" name="heures" dataDxfId="2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FBAF2D-35AB-4581-87EE-F4173271443E}" name="tbPauses" displayName="tbPauses" ref="D1:D10" totalsRowShown="0" headerRowDxfId="24" dataDxfId="23">
  <autoFilter ref="D1:D10" xr:uid="{3FFBAF2D-35AB-4581-87EE-F4173271443E}"/>
  <tableColumns count="1">
    <tableColumn id="1" xr3:uid="{94B6E0CE-8A6A-4630-88DC-193DFA64842D}" name="pauses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512F9A-490D-4E6A-9401-1EF3B5471180}" name="tbLieux" displayName="tbLieux" ref="G1:H9" totalsRowShown="0" headerRowDxfId="21" dataDxfId="20">
  <autoFilter ref="G1:H9" xr:uid="{94512F9A-490D-4E6A-9401-1EF3B5471180}"/>
  <tableColumns count="2">
    <tableColumn id="1" xr3:uid="{8D5B6B50-3F63-4F62-91B3-FA68946ED83E}" name="lieux" dataDxfId="19"/>
    <tableColumn id="2" xr3:uid="{93209443-41F2-4181-8A41-5626036D9FB5}" name="lieux court" dataDxfId="1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17" totalsRowShown="0" headerRowDxfId="17" dataDxfId="16">
  <autoFilter ref="A7:L17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1">
    <sortCondition ref="A8:A11"/>
  </sortState>
  <tableColumns count="12">
    <tableColumn id="1" xr3:uid="{2B660481-A11C-4286-95E2-E9B51F9A6980}" name="date" dataDxfId="15"/>
    <tableColumn id="10" xr3:uid="{41242497-3242-4A0A-8BEA-21C6287245E4}" name="mois" dataDxfId="14">
      <calculatedColumnFormula>MONTH(Tableau4[[#This Row],[date]])</calculatedColumnFormula>
    </tableColumn>
    <tableColumn id="11" xr3:uid="{99BCCB0F-D688-47F5-A113-8AE186033A48}" name="année" dataDxfId="13">
      <calculatedColumnFormula>YEAR(Tableau4[[#This Row],[date]])</calculatedColumnFormula>
    </tableColumn>
    <tableColumn id="2" xr3:uid="{A1FD7652-464C-437E-9829-4375FB383DE3}" name="manifestation" dataDxfId="12"/>
    <tableColumn id="3" xr3:uid="{7F66E703-E93C-4150-A781-8C9B945517DB}" name="salarié" dataDxfId="11"/>
    <tableColumn id="4" xr3:uid="{1F0D0237-1CFD-4C7D-9258-5BB7ABC3639E}" name="profession" dataDxfId="10"/>
    <tableColumn id="5" xr3:uid="{3B15B917-6CEA-4CF9-824C-B6A9F91D35C0}" name="tâche" dataDxfId="9"/>
    <tableColumn id="6" xr3:uid="{EC10FB46-9C09-44FC-A0D8-87B8E8465DB6}" name="in" dataDxfId="8"/>
    <tableColumn id="7" xr3:uid="{D7C49B12-72E1-477F-9858-A9B496E5784E}" name="out" dataDxfId="7"/>
    <tableColumn id="8" xr3:uid="{D772B211-1156-46FA-B991-382DECB8CD93}" name="pause" dataDxfId="6"/>
    <tableColumn id="9" xr3:uid="{E07BFA6A-6B71-4633-BD91-72DB3A902858}" name="durée" dataDxfId="5">
      <calculatedColumnFormula>ABS(I8-H8-J8)</calculatedColumnFormula>
    </tableColumn>
    <tableColumn id="12" xr3:uid="{43293731-3A67-46FC-AA3B-5A7BEF034FDF}" name="pannier" dataDxfId="4"/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72033-E5E6-4FB1-BB5C-D983723DE79C}" name="Tableau5" displayName="Tableau5" ref="A1:C13" totalsRowShown="0" headerRowDxfId="3">
  <tableColumns count="3">
    <tableColumn id="1" xr3:uid="{F1DCE654-0CFD-4206-96E4-D0CBCCDD215D}" name="spectacle" dataDxfId="2"/>
    <tableColumn id="2" xr3:uid="{86F5DE7C-7FBB-44A7-8CB9-E537BCBB8428}" name="date" dataDxfId="1"/>
    <tableColumn id="3" xr3:uid="{8CF24B54-FC9D-4E50-B428-1CBF1823B794}" name="horai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A2" sqref="A2"/>
    </sheetView>
  </sheetViews>
  <sheetFormatPr baseColWidth="10" defaultRowHeight="15" x14ac:dyDescent="0.25"/>
  <cols>
    <col min="1" max="1" width="20.28515625" style="3" customWidth="1"/>
    <col min="2" max="2" width="18" style="3" bestFit="1" customWidth="1"/>
  </cols>
  <sheetData>
    <row r="1" spans="1:2" x14ac:dyDescent="0.25">
      <c r="A1" s="3" t="s">
        <v>42</v>
      </c>
      <c r="B1" s="3" t="s">
        <v>10</v>
      </c>
    </row>
    <row r="2" spans="1:2" x14ac:dyDescent="0.25">
      <c r="A2" s="3" t="s">
        <v>60</v>
      </c>
      <c r="B2" s="3" t="s">
        <v>43</v>
      </c>
    </row>
    <row r="3" spans="1:2" x14ac:dyDescent="0.25">
      <c r="A3" s="3" t="s">
        <v>59</v>
      </c>
      <c r="B3" s="3" t="s">
        <v>44</v>
      </c>
    </row>
    <row r="4" spans="1:2" x14ac:dyDescent="0.25">
      <c r="A4" s="3" t="s">
        <v>45</v>
      </c>
      <c r="B4" s="3" t="s">
        <v>45</v>
      </c>
    </row>
    <row r="5" spans="1:2" x14ac:dyDescent="0.25">
      <c r="A5" s="3" t="s">
        <v>56</v>
      </c>
      <c r="B5" s="3" t="s">
        <v>46</v>
      </c>
    </row>
    <row r="6" spans="1:2" x14ac:dyDescent="0.25">
      <c r="A6" s="3" t="s">
        <v>57</v>
      </c>
      <c r="B6" s="3" t="s">
        <v>47</v>
      </c>
    </row>
    <row r="7" spans="1:2" x14ac:dyDescent="0.25">
      <c r="A7" s="3" t="s">
        <v>58</v>
      </c>
      <c r="B7" s="3" t="s">
        <v>48</v>
      </c>
    </row>
    <row r="8" spans="1:2" x14ac:dyDescent="0.25">
      <c r="A8" s="3" t="s">
        <v>53</v>
      </c>
      <c r="B8" s="3" t="s">
        <v>49</v>
      </c>
    </row>
    <row r="9" spans="1:2" x14ac:dyDescent="0.25">
      <c r="A9" s="3" t="s">
        <v>54</v>
      </c>
      <c r="B9" s="3" t="s">
        <v>50</v>
      </c>
    </row>
    <row r="10" spans="1:2" x14ac:dyDescent="0.25">
      <c r="A10" s="3" t="s">
        <v>55</v>
      </c>
      <c r="B10" s="3" t="s">
        <v>51</v>
      </c>
    </row>
    <row r="11" spans="1:2" x14ac:dyDescent="0.25">
      <c r="A11" s="3" t="s">
        <v>61</v>
      </c>
      <c r="B11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G5"/>
  <sheetViews>
    <sheetView workbookViewId="0">
      <selection activeCell="G2" sqref="G2"/>
    </sheetView>
  </sheetViews>
  <sheetFormatPr baseColWidth="10" defaultRowHeight="15" x14ac:dyDescent="0.25"/>
  <cols>
    <col min="1" max="1" width="11" style="3" customWidth="1"/>
    <col min="2" max="2" width="22.7109375" style="3" bestFit="1" customWidth="1"/>
    <col min="3" max="3" width="10.85546875" style="3"/>
    <col min="7" max="7" width="23.140625" bestFit="1" customWidth="1"/>
  </cols>
  <sheetData>
    <row r="1" spans="1:7" x14ac:dyDescent="0.25">
      <c r="A1" s="3" t="s">
        <v>42</v>
      </c>
      <c r="B1" s="3" t="s">
        <v>10</v>
      </c>
      <c r="C1" s="3" t="s">
        <v>83</v>
      </c>
      <c r="D1" s="3" t="s">
        <v>103</v>
      </c>
      <c r="E1" s="3" t="s">
        <v>104</v>
      </c>
      <c r="F1" s="3" t="s">
        <v>105</v>
      </c>
      <c r="G1" s="3" t="s">
        <v>139</v>
      </c>
    </row>
    <row r="2" spans="1:7" x14ac:dyDescent="0.25">
      <c r="A2" s="3" t="s">
        <v>77</v>
      </c>
      <c r="B2" s="3" t="s">
        <v>76</v>
      </c>
      <c r="C2" s="4" t="s">
        <v>84</v>
      </c>
      <c r="D2" s="3">
        <v>1.5</v>
      </c>
      <c r="E2" s="3">
        <v>3</v>
      </c>
      <c r="F2" s="3">
        <v>1</v>
      </c>
      <c r="G2" s="3" t="s">
        <v>31</v>
      </c>
    </row>
    <row r="3" spans="1:7" x14ac:dyDescent="0.25">
      <c r="A3" s="3" t="s">
        <v>79</v>
      </c>
      <c r="B3" s="3" t="s">
        <v>78</v>
      </c>
      <c r="C3" s="3" t="s">
        <v>86</v>
      </c>
      <c r="D3" s="3">
        <v>1.5</v>
      </c>
      <c r="E3" s="3">
        <v>2</v>
      </c>
      <c r="F3" s="3">
        <v>1</v>
      </c>
      <c r="G3" s="3" t="s">
        <v>31</v>
      </c>
    </row>
    <row r="4" spans="1:7" x14ac:dyDescent="0.2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  <c r="G4" s="3" t="s">
        <v>89</v>
      </c>
    </row>
    <row r="5" spans="1:7" x14ac:dyDescent="0.25">
      <c r="A5" s="3" t="s">
        <v>82</v>
      </c>
      <c r="B5" s="3" t="s">
        <v>81</v>
      </c>
      <c r="C5" s="3" t="s">
        <v>85</v>
      </c>
      <c r="D5" s="3">
        <v>2</v>
      </c>
      <c r="E5" s="3">
        <v>5</v>
      </c>
      <c r="F5" s="3">
        <v>3</v>
      </c>
      <c r="G5" s="3" t="s">
        <v>89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D38A21-8CB3-4720-B02A-6497727F2D2A}">
          <x14:formula1>
            <xm:f>listes!$G$2:$G$9</xm:f>
          </x14:formula1>
          <xm:sqref>G2:G5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F7"/>
  <sheetViews>
    <sheetView showGridLines="0" workbookViewId="0">
      <selection activeCell="C6" sqref="C6"/>
    </sheetView>
  </sheetViews>
  <sheetFormatPr baseColWidth="10" defaultColWidth="10.85546875" defaultRowHeight="15" x14ac:dyDescent="0.25"/>
  <cols>
    <col min="1" max="1" width="14.42578125" style="10" bestFit="1" customWidth="1"/>
    <col min="2" max="2" width="12.5703125" style="10" bestFit="1" customWidth="1"/>
    <col min="3" max="3" width="11.5703125" style="10" customWidth="1"/>
    <col min="4" max="4" width="14.42578125" style="10" bestFit="1" customWidth="1"/>
    <col min="5" max="16384" width="10.85546875" style="9"/>
  </cols>
  <sheetData>
    <row r="1" spans="1:6" x14ac:dyDescent="0.25">
      <c r="A1" s="11" t="s">
        <v>12</v>
      </c>
      <c r="B1" s="11" t="s">
        <v>135</v>
      </c>
      <c r="C1" s="11" t="s">
        <v>10</v>
      </c>
      <c r="D1" s="11" t="s">
        <v>11</v>
      </c>
      <c r="F1" s="8"/>
    </row>
    <row r="2" spans="1:6" x14ac:dyDescent="0.25">
      <c r="A2" s="3" t="s">
        <v>119</v>
      </c>
      <c r="B2" s="3" t="s">
        <v>118</v>
      </c>
      <c r="C2" s="3" t="s">
        <v>120</v>
      </c>
      <c r="D2" s="3" t="s">
        <v>120</v>
      </c>
      <c r="F2" s="10"/>
    </row>
    <row r="3" spans="1:6" x14ac:dyDescent="0.25">
      <c r="A3" s="3" t="s">
        <v>16</v>
      </c>
      <c r="B3" s="3" t="s">
        <v>13</v>
      </c>
      <c r="C3" s="3" t="s">
        <v>14</v>
      </c>
      <c r="D3" s="3" t="s">
        <v>15</v>
      </c>
      <c r="F3" s="10"/>
    </row>
    <row r="4" spans="1:6" x14ac:dyDescent="0.25">
      <c r="A4" s="3" t="s">
        <v>18</v>
      </c>
      <c r="B4" s="3" t="s">
        <v>20</v>
      </c>
      <c r="C4" s="3" t="s">
        <v>17</v>
      </c>
      <c r="D4" s="3" t="s">
        <v>19</v>
      </c>
      <c r="F4" s="10"/>
    </row>
    <row r="5" spans="1:6" x14ac:dyDescent="0.25">
      <c r="A5" s="3" t="s">
        <v>23</v>
      </c>
      <c r="B5" s="3" t="s">
        <v>24</v>
      </c>
      <c r="C5" s="3" t="s">
        <v>21</v>
      </c>
      <c r="D5" s="3" t="s">
        <v>22</v>
      </c>
      <c r="F5" s="10"/>
    </row>
    <row r="6" spans="1:6" x14ac:dyDescent="0.25">
      <c r="A6" s="3" t="s">
        <v>27</v>
      </c>
      <c r="B6" s="3" t="s">
        <v>28</v>
      </c>
      <c r="C6" s="3" t="s">
        <v>25</v>
      </c>
      <c r="D6" s="3" t="s">
        <v>26</v>
      </c>
      <c r="F6" s="10"/>
    </row>
    <row r="7" spans="1:6" x14ac:dyDescent="0.25">
      <c r="A7" s="3" t="s">
        <v>101</v>
      </c>
      <c r="B7" s="3" t="s">
        <v>98</v>
      </c>
      <c r="C7" s="3" t="s">
        <v>99</v>
      </c>
      <c r="D7" s="3" t="s">
        <v>100</v>
      </c>
      <c r="F7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10"/>
  <sheetViews>
    <sheetView workbookViewId="0">
      <selection activeCell="F8" sqref="F8"/>
    </sheetView>
  </sheetViews>
  <sheetFormatPr baseColWidth="10" defaultRowHeight="15" x14ac:dyDescent="0.25"/>
  <cols>
    <col min="1" max="3" width="16.42578125" style="3" customWidth="1"/>
  </cols>
  <sheetData>
    <row r="1" spans="1:3" x14ac:dyDescent="0.25">
      <c r="A1" s="3" t="s">
        <v>2</v>
      </c>
      <c r="B1" s="3" t="s">
        <v>65</v>
      </c>
      <c r="C1" s="3" t="s">
        <v>1</v>
      </c>
    </row>
    <row r="2" spans="1:3" x14ac:dyDescent="0.25">
      <c r="A2" s="3" t="s">
        <v>64</v>
      </c>
      <c r="B2" s="3">
        <v>15</v>
      </c>
      <c r="C2" s="3" t="s">
        <v>63</v>
      </c>
    </row>
    <row r="3" spans="1:3" x14ac:dyDescent="0.25">
      <c r="A3" s="3" t="s">
        <v>66</v>
      </c>
      <c r="B3" s="3">
        <v>18</v>
      </c>
      <c r="C3" s="3" t="s">
        <v>71</v>
      </c>
    </row>
    <row r="4" spans="1:3" x14ac:dyDescent="0.25">
      <c r="A4" s="3" t="s">
        <v>67</v>
      </c>
      <c r="B4" s="3">
        <v>18</v>
      </c>
      <c r="C4" s="3" t="s">
        <v>72</v>
      </c>
    </row>
    <row r="5" spans="1:3" x14ac:dyDescent="0.25">
      <c r="A5" s="3" t="s">
        <v>68</v>
      </c>
      <c r="B5" s="3">
        <v>18</v>
      </c>
      <c r="C5" s="3" t="s">
        <v>74</v>
      </c>
    </row>
    <row r="6" spans="1:3" x14ac:dyDescent="0.25">
      <c r="A6" s="3" t="s">
        <v>69</v>
      </c>
      <c r="B6" s="3">
        <v>22</v>
      </c>
      <c r="C6" s="3" t="s">
        <v>73</v>
      </c>
    </row>
    <row r="7" spans="1:3" x14ac:dyDescent="0.25">
      <c r="A7" s="3" t="s">
        <v>70</v>
      </c>
      <c r="B7" s="3">
        <v>15</v>
      </c>
      <c r="C7" s="3" t="s">
        <v>75</v>
      </c>
    </row>
    <row r="8" spans="1:3" x14ac:dyDescent="0.25">
      <c r="A8" s="3" t="s">
        <v>107</v>
      </c>
      <c r="B8" s="3">
        <v>13.5</v>
      </c>
      <c r="C8" s="3" t="s">
        <v>106</v>
      </c>
    </row>
    <row r="9" spans="1:3" x14ac:dyDescent="0.25">
      <c r="A9" s="3" t="s">
        <v>133</v>
      </c>
      <c r="B9" s="3">
        <v>22</v>
      </c>
      <c r="C9" s="3" t="s">
        <v>72</v>
      </c>
    </row>
    <row r="10" spans="1:3" x14ac:dyDescent="0.25">
      <c r="A10" s="3" t="s">
        <v>134</v>
      </c>
      <c r="B10" s="3">
        <v>22</v>
      </c>
      <c r="C10" s="3" t="s">
        <v>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5" x14ac:dyDescent="0.25"/>
  <cols>
    <col min="1" max="1" width="13" style="3" customWidth="1"/>
    <col min="2" max="2" width="19.85546875" style="3" bestFit="1" customWidth="1"/>
  </cols>
  <sheetData>
    <row r="1" spans="1:2" x14ac:dyDescent="0.25">
      <c r="A1" s="3" t="s">
        <v>1</v>
      </c>
      <c r="B1" s="3" t="s">
        <v>2</v>
      </c>
    </row>
    <row r="2" spans="1:2" x14ac:dyDescent="0.25">
      <c r="A2" s="3" t="s">
        <v>3</v>
      </c>
      <c r="B2" s="3" t="s">
        <v>87</v>
      </c>
    </row>
    <row r="3" spans="1:2" x14ac:dyDescent="0.25">
      <c r="A3" s="3" t="s">
        <v>4</v>
      </c>
      <c r="B3" s="3" t="s">
        <v>7</v>
      </c>
    </row>
    <row r="4" spans="1:2" x14ac:dyDescent="0.25">
      <c r="A4" s="3" t="s">
        <v>5</v>
      </c>
      <c r="B4" s="3" t="s">
        <v>9</v>
      </c>
    </row>
    <row r="5" spans="1:2" x14ac:dyDescent="0.2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N193"/>
  <sheetViews>
    <sheetView workbookViewId="0">
      <selection activeCell="F14" sqref="F14"/>
    </sheetView>
  </sheetViews>
  <sheetFormatPr baseColWidth="10" defaultRowHeight="15" x14ac:dyDescent="0.25"/>
  <cols>
    <col min="7" max="7" width="23.140625" style="3" bestFit="1" customWidth="1"/>
    <col min="8" max="8" width="14.140625" style="3" bestFit="1" customWidth="1"/>
    <col min="12" max="12" width="15.42578125" bestFit="1" customWidth="1"/>
    <col min="14" max="14" width="11.28515625" bestFit="1" customWidth="1"/>
  </cols>
  <sheetData>
    <row r="1" spans="2:14" x14ac:dyDescent="0.25">
      <c r="B1" s="3" t="s">
        <v>0</v>
      </c>
      <c r="C1" s="3"/>
      <c r="D1" s="12" t="s">
        <v>136</v>
      </c>
      <c r="G1" s="3" t="s">
        <v>29</v>
      </c>
      <c r="H1" s="3" t="s">
        <v>32</v>
      </c>
      <c r="J1" s="3" t="s">
        <v>83</v>
      </c>
      <c r="L1" s="3" t="s">
        <v>121</v>
      </c>
      <c r="M1" s="3"/>
      <c r="N1" t="s">
        <v>128</v>
      </c>
    </row>
    <row r="2" spans="2:14" x14ac:dyDescent="0.25">
      <c r="B2" s="2">
        <v>0</v>
      </c>
      <c r="C2" s="2"/>
      <c r="D2" s="13">
        <v>0</v>
      </c>
      <c r="E2" s="1"/>
      <c r="F2" s="1"/>
      <c r="G2" s="3" t="s">
        <v>31</v>
      </c>
      <c r="H2" s="3" t="s">
        <v>33</v>
      </c>
      <c r="J2" s="4" t="s">
        <v>93</v>
      </c>
      <c r="L2" s="3" t="s">
        <v>124</v>
      </c>
      <c r="N2" t="s">
        <v>129</v>
      </c>
    </row>
    <row r="3" spans="2:14" x14ac:dyDescent="0.25">
      <c r="B3" s="2">
        <v>1.0416666666666666E-2</v>
      </c>
      <c r="C3" s="2"/>
      <c r="D3" s="13">
        <v>1.0416666666666666E-2</v>
      </c>
      <c r="G3" s="3" t="s">
        <v>92</v>
      </c>
      <c r="H3" s="3" t="s">
        <v>30</v>
      </c>
      <c r="J3" s="3" t="s">
        <v>94</v>
      </c>
      <c r="L3" s="3" t="s">
        <v>123</v>
      </c>
      <c r="M3" s="3"/>
      <c r="N3" t="s">
        <v>130</v>
      </c>
    </row>
    <row r="4" spans="2:14" x14ac:dyDescent="0.25">
      <c r="B4" s="2">
        <v>2.0833333333333332E-2</v>
      </c>
      <c r="C4" s="2"/>
      <c r="D4" s="13">
        <v>2.0833333333333332E-2</v>
      </c>
      <c r="G4" s="3" t="s">
        <v>40</v>
      </c>
      <c r="H4" s="3" t="s">
        <v>34</v>
      </c>
      <c r="J4" s="3" t="s">
        <v>95</v>
      </c>
      <c r="L4" s="3" t="s">
        <v>125</v>
      </c>
      <c r="M4" s="3"/>
      <c r="N4" t="s">
        <v>131</v>
      </c>
    </row>
    <row r="5" spans="2:14" x14ac:dyDescent="0.25">
      <c r="B5" s="2">
        <v>3.125E-2</v>
      </c>
      <c r="C5" s="2"/>
      <c r="D5" s="13">
        <v>3.125E-2</v>
      </c>
      <c r="G5" s="3" t="s">
        <v>39</v>
      </c>
      <c r="H5" s="3" t="s">
        <v>35</v>
      </c>
      <c r="J5" s="3" t="s">
        <v>95</v>
      </c>
      <c r="L5" s="3" t="s">
        <v>126</v>
      </c>
      <c r="M5" s="3"/>
      <c r="N5" t="s">
        <v>132</v>
      </c>
    </row>
    <row r="6" spans="2:14" x14ac:dyDescent="0.25">
      <c r="B6" s="2">
        <v>4.1666666666666664E-2</v>
      </c>
      <c r="C6" s="2"/>
      <c r="D6" s="13">
        <v>4.1666666666666664E-2</v>
      </c>
      <c r="G6" s="3" t="s">
        <v>38</v>
      </c>
      <c r="H6" s="3" t="s">
        <v>36</v>
      </c>
      <c r="J6" s="3" t="s">
        <v>96</v>
      </c>
      <c r="L6" s="3" t="s">
        <v>127</v>
      </c>
      <c r="M6" s="3"/>
      <c r="N6" t="s">
        <v>122</v>
      </c>
    </row>
    <row r="7" spans="2:14" x14ac:dyDescent="0.25">
      <c r="B7" s="2">
        <v>5.2083333333333329E-2</v>
      </c>
      <c r="C7" s="2"/>
      <c r="D7" s="13">
        <v>5.2083333333333336E-2</v>
      </c>
      <c r="G7" s="3" t="s">
        <v>41</v>
      </c>
      <c r="H7" s="3" t="s">
        <v>37</v>
      </c>
      <c r="J7" s="3" t="s">
        <v>97</v>
      </c>
    </row>
    <row r="8" spans="2:14" x14ac:dyDescent="0.25">
      <c r="B8" s="2">
        <v>6.2499999999999993E-2</v>
      </c>
      <c r="C8" s="2"/>
      <c r="D8" s="13">
        <v>6.25E-2</v>
      </c>
      <c r="G8" s="3" t="s">
        <v>89</v>
      </c>
      <c r="H8" s="3" t="s">
        <v>90</v>
      </c>
    </row>
    <row r="9" spans="2:14" x14ac:dyDescent="0.25">
      <c r="B9" s="2">
        <v>7.2916666666666657E-2</v>
      </c>
      <c r="C9" s="2"/>
      <c r="D9" s="13">
        <v>7.2916666666666671E-2</v>
      </c>
      <c r="G9" s="3" t="s">
        <v>88</v>
      </c>
      <c r="H9" s="3" t="s">
        <v>91</v>
      </c>
    </row>
    <row r="10" spans="2:14" x14ac:dyDescent="0.25">
      <c r="B10" s="2">
        <v>8.3333333333333329E-2</v>
      </c>
      <c r="C10" s="2"/>
      <c r="D10" s="13">
        <v>8.3333333333333329E-2</v>
      </c>
    </row>
    <row r="11" spans="2:14" x14ac:dyDescent="0.25">
      <c r="B11" s="2">
        <v>9.375E-2</v>
      </c>
      <c r="C11" s="2"/>
      <c r="D11" s="13"/>
    </row>
    <row r="12" spans="2:14" x14ac:dyDescent="0.25">
      <c r="B12" s="2">
        <v>0.10416666666666667</v>
      </c>
      <c r="C12" s="2"/>
      <c r="D12" s="13"/>
    </row>
    <row r="13" spans="2:14" x14ac:dyDescent="0.25">
      <c r="B13" s="2">
        <v>0.11458333333333334</v>
      </c>
      <c r="C13" s="2"/>
      <c r="D13" s="2"/>
    </row>
    <row r="14" spans="2:14" x14ac:dyDescent="0.25">
      <c r="B14" s="2">
        <v>0.125</v>
      </c>
      <c r="C14" s="2"/>
      <c r="D14" s="2"/>
    </row>
    <row r="15" spans="2:14" x14ac:dyDescent="0.25">
      <c r="B15" s="2">
        <v>0.13541666666666666</v>
      </c>
      <c r="C15" s="2"/>
      <c r="D15" s="2"/>
    </row>
    <row r="16" spans="2:14" x14ac:dyDescent="0.25">
      <c r="B16" s="2">
        <v>0.14583333333333331</v>
      </c>
      <c r="C16" s="2"/>
      <c r="D16" s="2"/>
    </row>
    <row r="17" spans="2:4" x14ac:dyDescent="0.25">
      <c r="B17" s="2">
        <v>0.15624999999999997</v>
      </c>
      <c r="C17" s="2"/>
      <c r="D17" s="2"/>
    </row>
    <row r="18" spans="2:4" x14ac:dyDescent="0.25">
      <c r="B18" s="2">
        <v>0.16666666666666663</v>
      </c>
      <c r="C18" s="2"/>
      <c r="D18" s="2"/>
    </row>
    <row r="19" spans="2:4" x14ac:dyDescent="0.25">
      <c r="B19" s="2">
        <v>0.17708333333333329</v>
      </c>
      <c r="C19" s="2"/>
      <c r="D19" s="2"/>
    </row>
    <row r="20" spans="2:4" x14ac:dyDescent="0.25">
      <c r="B20" s="2">
        <v>0.18749999999999994</v>
      </c>
      <c r="C20" s="2"/>
      <c r="D20" s="2"/>
    </row>
    <row r="21" spans="2:4" x14ac:dyDescent="0.25">
      <c r="B21" s="2">
        <v>0.1979166666666666</v>
      </c>
      <c r="C21" s="2"/>
      <c r="D21" s="2"/>
    </row>
    <row r="22" spans="2:4" x14ac:dyDescent="0.25">
      <c r="B22" s="2">
        <v>0.20833333333333326</v>
      </c>
      <c r="C22" s="2"/>
      <c r="D22" s="2"/>
    </row>
    <row r="23" spans="2:4" x14ac:dyDescent="0.25">
      <c r="B23" s="2">
        <v>0.21874999999999992</v>
      </c>
      <c r="C23" s="2"/>
      <c r="D23" s="2"/>
    </row>
    <row r="24" spans="2:4" x14ac:dyDescent="0.25">
      <c r="B24" s="2">
        <v>0.22916666666666657</v>
      </c>
      <c r="C24" s="2"/>
      <c r="D24" s="2"/>
    </row>
    <row r="25" spans="2:4" x14ac:dyDescent="0.25">
      <c r="B25" s="2">
        <v>0.23958333333333323</v>
      </c>
      <c r="C25" s="2"/>
      <c r="D25" s="2"/>
    </row>
    <row r="26" spans="2:4" x14ac:dyDescent="0.25">
      <c r="B26" s="2">
        <v>0.24999999999999989</v>
      </c>
      <c r="C26" s="2"/>
      <c r="D26" s="2"/>
    </row>
    <row r="27" spans="2:4" x14ac:dyDescent="0.25">
      <c r="B27" s="2">
        <v>0.26041666666666657</v>
      </c>
      <c r="C27" s="2"/>
      <c r="D27" s="2"/>
    </row>
    <row r="28" spans="2:4" x14ac:dyDescent="0.25">
      <c r="B28" s="2">
        <v>0.27083333333333326</v>
      </c>
      <c r="C28" s="2"/>
      <c r="D28" s="2"/>
    </row>
    <row r="29" spans="2:4" x14ac:dyDescent="0.25">
      <c r="B29" s="2">
        <v>0.28124999999999994</v>
      </c>
      <c r="C29" s="2"/>
      <c r="D29" s="2"/>
    </row>
    <row r="30" spans="2:4" x14ac:dyDescent="0.25">
      <c r="B30" s="2">
        <v>0.29166666666666663</v>
      </c>
      <c r="C30" s="2"/>
      <c r="D30" s="2"/>
    </row>
    <row r="31" spans="2:4" x14ac:dyDescent="0.25">
      <c r="B31" s="2">
        <v>0.30208333333333331</v>
      </c>
      <c r="C31" s="2"/>
      <c r="D31" s="2"/>
    </row>
    <row r="32" spans="2:4" x14ac:dyDescent="0.25">
      <c r="B32" s="2">
        <v>0.3125</v>
      </c>
      <c r="C32" s="2"/>
      <c r="D32" s="2"/>
    </row>
    <row r="33" spans="2:4" x14ac:dyDescent="0.25">
      <c r="B33" s="2">
        <v>0.32291666666666669</v>
      </c>
      <c r="C33" s="2"/>
      <c r="D33" s="2"/>
    </row>
    <row r="34" spans="2:4" x14ac:dyDescent="0.25">
      <c r="B34" s="2">
        <v>0.33333333333333337</v>
      </c>
      <c r="C34" s="2"/>
      <c r="D34" s="2"/>
    </row>
    <row r="35" spans="2:4" x14ac:dyDescent="0.25">
      <c r="B35" s="2">
        <v>0.34375000000000006</v>
      </c>
      <c r="C35" s="2"/>
      <c r="D35" s="2"/>
    </row>
    <row r="36" spans="2:4" x14ac:dyDescent="0.25">
      <c r="B36" s="2">
        <v>0.35416666666666674</v>
      </c>
      <c r="C36" s="2"/>
      <c r="D36" s="2"/>
    </row>
    <row r="37" spans="2:4" x14ac:dyDescent="0.25">
      <c r="B37" s="2">
        <v>0.36458333333333343</v>
      </c>
      <c r="C37" s="2"/>
      <c r="D37" s="2"/>
    </row>
    <row r="38" spans="2:4" x14ac:dyDescent="0.25">
      <c r="B38" s="2">
        <v>0.37500000000000011</v>
      </c>
      <c r="C38" s="2"/>
      <c r="D38" s="2"/>
    </row>
    <row r="39" spans="2:4" x14ac:dyDescent="0.25">
      <c r="B39" s="2">
        <v>0.3854166666666668</v>
      </c>
      <c r="C39" s="2"/>
      <c r="D39" s="2"/>
    </row>
    <row r="40" spans="2:4" x14ac:dyDescent="0.25">
      <c r="B40" s="2">
        <v>0.39583333333333348</v>
      </c>
      <c r="C40" s="2"/>
      <c r="D40" s="2"/>
    </row>
    <row r="41" spans="2:4" x14ac:dyDescent="0.25">
      <c r="B41" s="2">
        <v>0.40625000000000017</v>
      </c>
      <c r="C41" s="2"/>
      <c r="D41" s="2"/>
    </row>
    <row r="42" spans="2:4" x14ac:dyDescent="0.25">
      <c r="B42" s="2">
        <v>0.41666666666666685</v>
      </c>
      <c r="C42" s="2"/>
      <c r="D42" s="2"/>
    </row>
    <row r="43" spans="2:4" x14ac:dyDescent="0.25">
      <c r="B43" s="2">
        <v>0.42708333333333354</v>
      </c>
      <c r="C43" s="2"/>
      <c r="D43" s="2"/>
    </row>
    <row r="44" spans="2:4" x14ac:dyDescent="0.25">
      <c r="B44" s="2">
        <v>0.43750000000000022</v>
      </c>
      <c r="C44" s="2"/>
      <c r="D44" s="2"/>
    </row>
    <row r="45" spans="2:4" x14ac:dyDescent="0.25">
      <c r="B45" s="2">
        <v>0.44791666666666691</v>
      </c>
      <c r="C45" s="2"/>
      <c r="D45" s="2"/>
    </row>
    <row r="46" spans="2:4" x14ac:dyDescent="0.25">
      <c r="B46" s="2">
        <v>0.45833333333333359</v>
      </c>
      <c r="C46" s="2"/>
      <c r="D46" s="2"/>
    </row>
    <row r="47" spans="2:4" x14ac:dyDescent="0.25">
      <c r="B47" s="2">
        <v>0.46875000000000028</v>
      </c>
      <c r="C47" s="2"/>
      <c r="D47" s="2"/>
    </row>
    <row r="48" spans="2:4" x14ac:dyDescent="0.25">
      <c r="B48" s="2">
        <v>0.47916666666666696</v>
      </c>
      <c r="C48" s="2"/>
      <c r="D48" s="2"/>
    </row>
    <row r="49" spans="2:4" x14ac:dyDescent="0.25">
      <c r="B49" s="2">
        <v>0.48958333333333365</v>
      </c>
      <c r="C49" s="2"/>
      <c r="D49" s="2"/>
    </row>
    <row r="50" spans="2:4" x14ac:dyDescent="0.25">
      <c r="B50" s="2">
        <v>0.50000000000000033</v>
      </c>
      <c r="C50" s="2"/>
      <c r="D50" s="2"/>
    </row>
    <row r="51" spans="2:4" x14ac:dyDescent="0.25">
      <c r="B51" s="2">
        <v>0.51041666666666696</v>
      </c>
      <c r="C51" s="2"/>
      <c r="D51" s="2"/>
    </row>
    <row r="52" spans="2:4" x14ac:dyDescent="0.25">
      <c r="B52" s="2">
        <v>0.52083333333333359</v>
      </c>
      <c r="C52" s="2"/>
      <c r="D52" s="2"/>
    </row>
    <row r="53" spans="2:4" x14ac:dyDescent="0.25">
      <c r="B53" s="2">
        <v>0.53125000000000022</v>
      </c>
      <c r="C53" s="2"/>
      <c r="D53" s="2"/>
    </row>
    <row r="54" spans="2:4" x14ac:dyDescent="0.25">
      <c r="B54" s="2">
        <v>0.54166666666666685</v>
      </c>
      <c r="C54" s="2"/>
      <c r="D54" s="2"/>
    </row>
    <row r="55" spans="2:4" x14ac:dyDescent="0.25">
      <c r="B55" s="2">
        <v>0.55208333333333348</v>
      </c>
      <c r="C55" s="2"/>
      <c r="D55" s="2"/>
    </row>
    <row r="56" spans="2:4" x14ac:dyDescent="0.25">
      <c r="B56" s="2">
        <v>0.56250000000000011</v>
      </c>
      <c r="C56" s="2"/>
      <c r="D56" s="2"/>
    </row>
    <row r="57" spans="2:4" x14ac:dyDescent="0.25">
      <c r="B57" s="2">
        <v>0.57291666666666674</v>
      </c>
      <c r="C57" s="2"/>
      <c r="D57" s="2"/>
    </row>
    <row r="58" spans="2:4" x14ac:dyDescent="0.25">
      <c r="B58" s="2">
        <v>0.58333333333333337</v>
      </c>
      <c r="C58" s="2"/>
      <c r="D58" s="2"/>
    </row>
    <row r="59" spans="2:4" x14ac:dyDescent="0.25">
      <c r="B59" s="2">
        <v>0.59375</v>
      </c>
      <c r="C59" s="2"/>
      <c r="D59" s="2"/>
    </row>
    <row r="60" spans="2:4" x14ac:dyDescent="0.25">
      <c r="B60" s="2">
        <v>0.60416666666666663</v>
      </c>
      <c r="C60" s="2"/>
      <c r="D60" s="2"/>
    </row>
    <row r="61" spans="2:4" x14ac:dyDescent="0.25">
      <c r="B61" s="2">
        <v>0.61458333333333326</v>
      </c>
      <c r="C61" s="2"/>
      <c r="D61" s="2"/>
    </row>
    <row r="62" spans="2:4" x14ac:dyDescent="0.25">
      <c r="B62" s="2">
        <v>0.62499999999999989</v>
      </c>
      <c r="C62" s="2"/>
      <c r="D62" s="2"/>
    </row>
    <row r="63" spans="2:4" x14ac:dyDescent="0.25">
      <c r="B63" s="2">
        <v>0.63541666666666652</v>
      </c>
      <c r="C63" s="2"/>
      <c r="D63" s="2"/>
    </row>
    <row r="64" spans="2:4" x14ac:dyDescent="0.25">
      <c r="B64" s="2">
        <v>0.64583333333333315</v>
      </c>
      <c r="C64" s="2"/>
      <c r="D64" s="2"/>
    </row>
    <row r="65" spans="2:4" x14ac:dyDescent="0.25">
      <c r="B65" s="2">
        <v>0.65624999999999978</v>
      </c>
      <c r="C65" s="2"/>
      <c r="D65" s="2"/>
    </row>
    <row r="66" spans="2:4" x14ac:dyDescent="0.25">
      <c r="B66" s="2">
        <v>0.66666666666666641</v>
      </c>
      <c r="C66" s="2"/>
      <c r="D66" s="2"/>
    </row>
    <row r="67" spans="2:4" x14ac:dyDescent="0.25">
      <c r="B67" s="2">
        <v>0.67708333333333304</v>
      </c>
      <c r="C67" s="2"/>
      <c r="D67" s="2"/>
    </row>
    <row r="68" spans="2:4" x14ac:dyDescent="0.25">
      <c r="B68" s="2">
        <v>0.68749999999999967</v>
      </c>
      <c r="C68" s="2"/>
      <c r="D68" s="2"/>
    </row>
    <row r="69" spans="2:4" x14ac:dyDescent="0.25">
      <c r="B69" s="2">
        <v>0.6979166666666663</v>
      </c>
      <c r="C69" s="2"/>
      <c r="D69" s="2"/>
    </row>
    <row r="70" spans="2:4" x14ac:dyDescent="0.25">
      <c r="B70" s="2">
        <v>0.70833333333333293</v>
      </c>
      <c r="C70" s="2"/>
      <c r="D70" s="2"/>
    </row>
    <row r="71" spans="2:4" x14ac:dyDescent="0.25">
      <c r="B71" s="2">
        <v>0.71874999999999956</v>
      </c>
      <c r="C71" s="2"/>
      <c r="D71" s="2"/>
    </row>
    <row r="72" spans="2:4" x14ac:dyDescent="0.25">
      <c r="B72" s="2">
        <v>0.72916666666666619</v>
      </c>
      <c r="C72" s="2"/>
      <c r="D72" s="2"/>
    </row>
    <row r="73" spans="2:4" x14ac:dyDescent="0.25">
      <c r="B73" s="2">
        <v>0.73958333333333282</v>
      </c>
      <c r="C73" s="2"/>
      <c r="D73" s="2"/>
    </row>
    <row r="74" spans="2:4" x14ac:dyDescent="0.25">
      <c r="B74" s="2">
        <v>0.74999999999999944</v>
      </c>
      <c r="C74" s="2"/>
      <c r="D74" s="2"/>
    </row>
    <row r="75" spans="2:4" x14ac:dyDescent="0.25">
      <c r="B75" s="2">
        <v>0.76041666666666607</v>
      </c>
      <c r="C75" s="2"/>
      <c r="D75" s="2"/>
    </row>
    <row r="76" spans="2:4" x14ac:dyDescent="0.25">
      <c r="B76" s="2">
        <v>0.7708333333333327</v>
      </c>
      <c r="C76" s="2"/>
      <c r="D76" s="2"/>
    </row>
    <row r="77" spans="2:4" x14ac:dyDescent="0.25">
      <c r="B77" s="2">
        <v>0.78124999999999933</v>
      </c>
      <c r="C77" s="2"/>
      <c r="D77" s="2"/>
    </row>
    <row r="78" spans="2:4" x14ac:dyDescent="0.25">
      <c r="B78" s="2">
        <v>0.79166666666666596</v>
      </c>
      <c r="C78" s="2"/>
      <c r="D78" s="2"/>
    </row>
    <row r="79" spans="2:4" x14ac:dyDescent="0.25">
      <c r="B79" s="2">
        <v>0.80208333333333259</v>
      </c>
      <c r="C79" s="2"/>
      <c r="D79" s="2"/>
    </row>
    <row r="80" spans="2:4" x14ac:dyDescent="0.25">
      <c r="B80" s="2">
        <v>0.81249999999999922</v>
      </c>
      <c r="C80" s="2"/>
      <c r="D80" s="2"/>
    </row>
    <row r="81" spans="2:4" x14ac:dyDescent="0.25">
      <c r="B81" s="2">
        <v>0.82291666666666585</v>
      </c>
      <c r="C81" s="2"/>
      <c r="D81" s="2"/>
    </row>
    <row r="82" spans="2:4" x14ac:dyDescent="0.25">
      <c r="B82" s="2">
        <v>0.83333333333333248</v>
      </c>
      <c r="C82" s="2"/>
      <c r="D82" s="2"/>
    </row>
    <row r="83" spans="2:4" x14ac:dyDescent="0.25">
      <c r="B83" s="2">
        <v>0.84374999999999911</v>
      </c>
      <c r="C83" s="2"/>
      <c r="D83" s="2"/>
    </row>
    <row r="84" spans="2:4" x14ac:dyDescent="0.25">
      <c r="B84" s="2">
        <v>0.85416666666666574</v>
      </c>
      <c r="C84" s="2"/>
      <c r="D84" s="2"/>
    </row>
    <row r="85" spans="2:4" x14ac:dyDescent="0.25">
      <c r="B85" s="2">
        <v>0.86458333333333237</v>
      </c>
      <c r="C85" s="2"/>
      <c r="D85" s="2"/>
    </row>
    <row r="86" spans="2:4" x14ac:dyDescent="0.25">
      <c r="B86" s="2">
        <v>0.874999999999999</v>
      </c>
      <c r="C86" s="2"/>
      <c r="D86" s="2"/>
    </row>
    <row r="87" spans="2:4" x14ac:dyDescent="0.25">
      <c r="B87" s="2">
        <v>0.88541666666666563</v>
      </c>
      <c r="C87" s="2"/>
      <c r="D87" s="2"/>
    </row>
    <row r="88" spans="2:4" x14ac:dyDescent="0.25">
      <c r="B88" s="2">
        <v>0.89583333333333226</v>
      </c>
      <c r="C88" s="2"/>
      <c r="D88" s="2"/>
    </row>
    <row r="89" spans="2:4" x14ac:dyDescent="0.25">
      <c r="B89" s="2">
        <v>0.90624999999999889</v>
      </c>
      <c r="C89" s="2"/>
      <c r="D89" s="2"/>
    </row>
    <row r="90" spans="2:4" x14ac:dyDescent="0.25">
      <c r="B90" s="2">
        <v>0.91666666666666552</v>
      </c>
      <c r="C90" s="2"/>
      <c r="D90" s="2"/>
    </row>
    <row r="91" spans="2:4" x14ac:dyDescent="0.25">
      <c r="B91" s="2">
        <v>0.92708333333333215</v>
      </c>
      <c r="C91" s="2"/>
      <c r="D91" s="2"/>
    </row>
    <row r="92" spans="2:4" x14ac:dyDescent="0.25">
      <c r="B92" s="2">
        <v>0.93749999999999878</v>
      </c>
      <c r="C92" s="2"/>
      <c r="D92" s="2"/>
    </row>
    <row r="93" spans="2:4" x14ac:dyDescent="0.25">
      <c r="B93" s="2">
        <v>0.94791666666666541</v>
      </c>
      <c r="C93" s="2"/>
      <c r="D93" s="2"/>
    </row>
    <row r="94" spans="2:4" x14ac:dyDescent="0.25">
      <c r="B94" s="2">
        <v>0.95833333333333204</v>
      </c>
      <c r="C94" s="2"/>
      <c r="D94" s="2"/>
    </row>
    <row r="95" spans="2:4" x14ac:dyDescent="0.25">
      <c r="B95" s="2">
        <v>0.96874999999999867</v>
      </c>
      <c r="C95" s="2"/>
      <c r="D95" s="2"/>
    </row>
    <row r="96" spans="2:4" x14ac:dyDescent="0.25">
      <c r="B96" s="2">
        <v>0.9791666666666653</v>
      </c>
      <c r="C96" s="2"/>
      <c r="D96" s="2"/>
    </row>
    <row r="97" spans="2:4" x14ac:dyDescent="0.25">
      <c r="B97" s="2">
        <v>0.98958333333333193</v>
      </c>
      <c r="C97" s="2"/>
      <c r="D97" s="2"/>
    </row>
    <row r="98" spans="2:4" x14ac:dyDescent="0.25">
      <c r="B98" s="2"/>
      <c r="C98" s="2"/>
      <c r="D98" s="2"/>
    </row>
    <row r="99" spans="2:4" x14ac:dyDescent="0.25">
      <c r="B99" s="2"/>
      <c r="C99" s="2"/>
      <c r="D99" s="2"/>
    </row>
    <row r="100" spans="2:4" x14ac:dyDescent="0.25">
      <c r="B100" s="2"/>
      <c r="C100" s="2"/>
      <c r="D100" s="2"/>
    </row>
    <row r="101" spans="2:4" x14ac:dyDescent="0.25">
      <c r="B101" s="2"/>
      <c r="C101" s="2"/>
      <c r="D101" s="2"/>
    </row>
    <row r="102" spans="2:4" x14ac:dyDescent="0.25">
      <c r="B102" s="2"/>
      <c r="C102" s="2"/>
      <c r="D102" s="2"/>
    </row>
    <row r="103" spans="2:4" x14ac:dyDescent="0.25">
      <c r="B103" s="2"/>
      <c r="C103" s="2"/>
      <c r="D103" s="2"/>
    </row>
    <row r="104" spans="2:4" x14ac:dyDescent="0.25">
      <c r="B104" s="2"/>
      <c r="C104" s="2"/>
      <c r="D104" s="2"/>
    </row>
    <row r="105" spans="2:4" x14ac:dyDescent="0.25">
      <c r="B105" s="2"/>
      <c r="C105" s="2"/>
      <c r="D105" s="2"/>
    </row>
    <row r="106" spans="2:4" x14ac:dyDescent="0.25">
      <c r="B106" s="2"/>
      <c r="C106" s="2"/>
      <c r="D106" s="2"/>
    </row>
    <row r="107" spans="2:4" x14ac:dyDescent="0.25">
      <c r="B107" s="2"/>
      <c r="C107" s="2"/>
      <c r="D107" s="2"/>
    </row>
    <row r="108" spans="2:4" x14ac:dyDescent="0.25">
      <c r="B108" s="2"/>
      <c r="C108" s="2"/>
      <c r="D108" s="2"/>
    </row>
    <row r="109" spans="2:4" x14ac:dyDescent="0.25">
      <c r="B109" s="2"/>
      <c r="C109" s="2"/>
      <c r="D109" s="2"/>
    </row>
    <row r="110" spans="2:4" x14ac:dyDescent="0.25">
      <c r="B110" s="2"/>
      <c r="C110" s="2"/>
      <c r="D110" s="2"/>
    </row>
    <row r="111" spans="2:4" x14ac:dyDescent="0.25">
      <c r="B111" s="2"/>
      <c r="C111" s="2"/>
      <c r="D111" s="2"/>
    </row>
    <row r="112" spans="2:4" x14ac:dyDescent="0.25">
      <c r="B112" s="2"/>
      <c r="C112" s="2"/>
      <c r="D112" s="2"/>
    </row>
    <row r="113" spans="2:4" x14ac:dyDescent="0.25">
      <c r="B113" s="2"/>
      <c r="C113" s="2"/>
      <c r="D113" s="2"/>
    </row>
    <row r="114" spans="2:4" x14ac:dyDescent="0.25">
      <c r="B114" s="2"/>
      <c r="C114" s="2"/>
      <c r="D114" s="2"/>
    </row>
    <row r="115" spans="2:4" x14ac:dyDescent="0.25">
      <c r="B115" s="2"/>
      <c r="C115" s="2"/>
      <c r="D115" s="2"/>
    </row>
    <row r="116" spans="2:4" x14ac:dyDescent="0.25">
      <c r="B116" s="2"/>
      <c r="C116" s="2"/>
      <c r="D116" s="2"/>
    </row>
    <row r="117" spans="2:4" x14ac:dyDescent="0.25">
      <c r="B117" s="2"/>
      <c r="C117" s="2"/>
      <c r="D117" s="2"/>
    </row>
    <row r="118" spans="2:4" x14ac:dyDescent="0.25">
      <c r="B118" s="2"/>
      <c r="C118" s="2"/>
      <c r="D118" s="2"/>
    </row>
    <row r="119" spans="2:4" x14ac:dyDescent="0.25">
      <c r="B119" s="2"/>
      <c r="C119" s="2"/>
      <c r="D119" s="2"/>
    </row>
    <row r="120" spans="2:4" x14ac:dyDescent="0.25">
      <c r="B120" s="2"/>
      <c r="C120" s="2"/>
      <c r="D120" s="2"/>
    </row>
    <row r="121" spans="2:4" x14ac:dyDescent="0.25">
      <c r="B121" s="2"/>
      <c r="C121" s="2"/>
      <c r="D121" s="2"/>
    </row>
    <row r="122" spans="2:4" x14ac:dyDescent="0.25">
      <c r="B122" s="2"/>
      <c r="C122" s="2"/>
      <c r="D122" s="2"/>
    </row>
    <row r="123" spans="2:4" x14ac:dyDescent="0.25">
      <c r="B123" s="2"/>
      <c r="C123" s="2"/>
      <c r="D123" s="2"/>
    </row>
    <row r="124" spans="2:4" x14ac:dyDescent="0.25">
      <c r="B124" s="2"/>
      <c r="C124" s="2"/>
      <c r="D124" s="2"/>
    </row>
    <row r="125" spans="2:4" x14ac:dyDescent="0.25">
      <c r="B125" s="2"/>
      <c r="C125" s="2"/>
      <c r="D125" s="2"/>
    </row>
    <row r="126" spans="2:4" x14ac:dyDescent="0.25">
      <c r="B126" s="2"/>
      <c r="C126" s="2"/>
      <c r="D126" s="2"/>
    </row>
    <row r="127" spans="2:4" x14ac:dyDescent="0.25">
      <c r="B127" s="2"/>
      <c r="C127" s="2"/>
      <c r="D127" s="2"/>
    </row>
    <row r="128" spans="2:4" x14ac:dyDescent="0.25">
      <c r="B128" s="2"/>
      <c r="C128" s="2"/>
      <c r="D128" s="2"/>
    </row>
    <row r="129" spans="2:4" x14ac:dyDescent="0.25">
      <c r="B129" s="2"/>
      <c r="C129" s="2"/>
      <c r="D129" s="2"/>
    </row>
    <row r="130" spans="2:4" x14ac:dyDescent="0.25">
      <c r="B130" s="2"/>
      <c r="C130" s="2"/>
      <c r="D130" s="2"/>
    </row>
    <row r="131" spans="2:4" x14ac:dyDescent="0.25">
      <c r="B131" s="2"/>
      <c r="C131" s="2"/>
      <c r="D131" s="2"/>
    </row>
    <row r="132" spans="2:4" x14ac:dyDescent="0.25">
      <c r="B132" s="2"/>
      <c r="C132" s="2"/>
      <c r="D132" s="2"/>
    </row>
    <row r="133" spans="2:4" x14ac:dyDescent="0.25">
      <c r="B133" s="2"/>
      <c r="C133" s="2"/>
      <c r="D133" s="2"/>
    </row>
    <row r="134" spans="2:4" x14ac:dyDescent="0.25">
      <c r="B134" s="2"/>
      <c r="C134" s="2"/>
      <c r="D134" s="2"/>
    </row>
    <row r="135" spans="2:4" x14ac:dyDescent="0.25">
      <c r="B135" s="2"/>
      <c r="C135" s="2"/>
      <c r="D135" s="2"/>
    </row>
    <row r="136" spans="2:4" x14ac:dyDescent="0.25">
      <c r="B136" s="2"/>
      <c r="C136" s="2"/>
      <c r="D136" s="2"/>
    </row>
    <row r="137" spans="2:4" x14ac:dyDescent="0.25">
      <c r="B137" s="2"/>
      <c r="C137" s="2"/>
      <c r="D137" s="2"/>
    </row>
    <row r="138" spans="2:4" x14ac:dyDescent="0.25">
      <c r="B138" s="2"/>
      <c r="C138" s="2"/>
      <c r="D138" s="2"/>
    </row>
    <row r="139" spans="2:4" x14ac:dyDescent="0.25">
      <c r="B139" s="2"/>
      <c r="C139" s="2"/>
      <c r="D139" s="2"/>
    </row>
    <row r="140" spans="2:4" x14ac:dyDescent="0.25">
      <c r="B140" s="2"/>
      <c r="C140" s="2"/>
      <c r="D140" s="2"/>
    </row>
    <row r="141" spans="2:4" x14ac:dyDescent="0.25">
      <c r="B141" s="2"/>
      <c r="C141" s="2"/>
      <c r="D141" s="2"/>
    </row>
    <row r="142" spans="2:4" x14ac:dyDescent="0.25">
      <c r="B142" s="2"/>
      <c r="C142" s="2"/>
      <c r="D142" s="2"/>
    </row>
    <row r="143" spans="2:4" x14ac:dyDescent="0.25">
      <c r="B143" s="2"/>
      <c r="C143" s="2"/>
      <c r="D143" s="2"/>
    </row>
    <row r="144" spans="2:4" x14ac:dyDescent="0.25">
      <c r="B144" s="2"/>
      <c r="C144" s="2"/>
      <c r="D144" s="2"/>
    </row>
    <row r="145" spans="2:4" x14ac:dyDescent="0.25">
      <c r="B145" s="2"/>
      <c r="C145" s="2"/>
      <c r="D145" s="2"/>
    </row>
    <row r="146" spans="2:4" x14ac:dyDescent="0.25">
      <c r="B146" s="2"/>
      <c r="C146" s="2"/>
      <c r="D146" s="2"/>
    </row>
    <row r="147" spans="2:4" x14ac:dyDescent="0.25">
      <c r="B147" s="2"/>
      <c r="C147" s="2"/>
      <c r="D147" s="2"/>
    </row>
    <row r="148" spans="2:4" x14ac:dyDescent="0.25">
      <c r="B148" s="2"/>
      <c r="C148" s="2"/>
      <c r="D148" s="2"/>
    </row>
    <row r="149" spans="2:4" x14ac:dyDescent="0.25">
      <c r="B149" s="2"/>
      <c r="C149" s="2"/>
      <c r="D149" s="2"/>
    </row>
    <row r="150" spans="2:4" x14ac:dyDescent="0.25">
      <c r="B150" s="2"/>
      <c r="C150" s="2"/>
      <c r="D150" s="2"/>
    </row>
    <row r="151" spans="2:4" x14ac:dyDescent="0.25">
      <c r="B151" s="2"/>
      <c r="C151" s="2"/>
      <c r="D151" s="2"/>
    </row>
    <row r="152" spans="2:4" x14ac:dyDescent="0.25">
      <c r="B152" s="2"/>
      <c r="C152" s="2"/>
      <c r="D152" s="2"/>
    </row>
    <row r="153" spans="2:4" x14ac:dyDescent="0.25">
      <c r="B153" s="2"/>
      <c r="C153" s="2"/>
      <c r="D153" s="2"/>
    </row>
    <row r="154" spans="2:4" x14ac:dyDescent="0.25">
      <c r="B154" s="2"/>
      <c r="C154" s="2"/>
      <c r="D154" s="2"/>
    </row>
    <row r="155" spans="2:4" x14ac:dyDescent="0.25">
      <c r="B155" s="2"/>
      <c r="C155" s="2"/>
      <c r="D155" s="2"/>
    </row>
    <row r="156" spans="2:4" x14ac:dyDescent="0.25">
      <c r="B156" s="2"/>
      <c r="C156" s="2"/>
      <c r="D156" s="2"/>
    </row>
    <row r="157" spans="2:4" x14ac:dyDescent="0.25">
      <c r="B157" s="2"/>
      <c r="C157" s="2"/>
      <c r="D157" s="2"/>
    </row>
    <row r="158" spans="2:4" x14ac:dyDescent="0.25">
      <c r="B158" s="2"/>
      <c r="C158" s="2"/>
      <c r="D158" s="2"/>
    </row>
    <row r="159" spans="2:4" x14ac:dyDescent="0.25">
      <c r="B159" s="2"/>
      <c r="C159" s="2"/>
      <c r="D159" s="2"/>
    </row>
    <row r="160" spans="2:4" x14ac:dyDescent="0.25">
      <c r="B160" s="2"/>
      <c r="C160" s="2"/>
      <c r="D160" s="2"/>
    </row>
    <row r="161" spans="2:4" x14ac:dyDescent="0.25">
      <c r="B161" s="2"/>
      <c r="C161" s="2"/>
      <c r="D161" s="2"/>
    </row>
    <row r="162" spans="2:4" x14ac:dyDescent="0.25">
      <c r="B162" s="2"/>
      <c r="C162" s="2"/>
      <c r="D162" s="2"/>
    </row>
    <row r="163" spans="2:4" x14ac:dyDescent="0.25">
      <c r="B163" s="2"/>
      <c r="C163" s="2"/>
      <c r="D163" s="2"/>
    </row>
    <row r="164" spans="2:4" x14ac:dyDescent="0.25">
      <c r="B164" s="2"/>
      <c r="C164" s="2"/>
      <c r="D164" s="2"/>
    </row>
    <row r="165" spans="2:4" x14ac:dyDescent="0.25">
      <c r="B165" s="2"/>
      <c r="C165" s="2"/>
      <c r="D165" s="2"/>
    </row>
    <row r="166" spans="2:4" x14ac:dyDescent="0.25">
      <c r="B166" s="2"/>
      <c r="C166" s="2"/>
      <c r="D166" s="2"/>
    </row>
    <row r="167" spans="2:4" x14ac:dyDescent="0.25">
      <c r="B167" s="2"/>
      <c r="C167" s="2"/>
      <c r="D167" s="2"/>
    </row>
    <row r="168" spans="2:4" x14ac:dyDescent="0.25">
      <c r="B168" s="2"/>
      <c r="C168" s="2"/>
      <c r="D168" s="2"/>
    </row>
    <row r="169" spans="2:4" x14ac:dyDescent="0.25">
      <c r="B169" s="2"/>
      <c r="C169" s="2"/>
      <c r="D169" s="2"/>
    </row>
    <row r="170" spans="2:4" x14ac:dyDescent="0.25">
      <c r="B170" s="2"/>
      <c r="C170" s="2"/>
      <c r="D170" s="2"/>
    </row>
    <row r="171" spans="2:4" x14ac:dyDescent="0.25">
      <c r="B171" s="2"/>
      <c r="C171" s="2"/>
      <c r="D171" s="2"/>
    </row>
    <row r="172" spans="2:4" x14ac:dyDescent="0.25">
      <c r="B172" s="2"/>
      <c r="C172" s="2"/>
      <c r="D172" s="2"/>
    </row>
    <row r="173" spans="2:4" x14ac:dyDescent="0.25">
      <c r="B173" s="2"/>
      <c r="C173" s="2"/>
      <c r="D173" s="2"/>
    </row>
    <row r="174" spans="2:4" x14ac:dyDescent="0.25">
      <c r="B174" s="2"/>
      <c r="C174" s="2"/>
      <c r="D174" s="2"/>
    </row>
    <row r="175" spans="2:4" x14ac:dyDescent="0.25">
      <c r="B175" s="2"/>
      <c r="C175" s="2"/>
      <c r="D175" s="2"/>
    </row>
    <row r="176" spans="2:4" x14ac:dyDescent="0.25">
      <c r="B176" s="2"/>
      <c r="C176" s="2"/>
      <c r="D176" s="2"/>
    </row>
    <row r="177" spans="2:4" x14ac:dyDescent="0.25">
      <c r="B177" s="2"/>
      <c r="C177" s="2"/>
      <c r="D177" s="2"/>
    </row>
    <row r="178" spans="2:4" x14ac:dyDescent="0.25">
      <c r="B178" s="2"/>
      <c r="C178" s="2"/>
      <c r="D178" s="2"/>
    </row>
    <row r="179" spans="2:4" x14ac:dyDescent="0.25">
      <c r="B179" s="2"/>
      <c r="C179" s="2"/>
      <c r="D179" s="2"/>
    </row>
    <row r="180" spans="2:4" x14ac:dyDescent="0.25">
      <c r="B180" s="2"/>
      <c r="C180" s="2"/>
      <c r="D180" s="2"/>
    </row>
    <row r="181" spans="2:4" x14ac:dyDescent="0.25">
      <c r="B181" s="2"/>
      <c r="C181" s="2"/>
      <c r="D181" s="2"/>
    </row>
    <row r="182" spans="2:4" x14ac:dyDescent="0.25">
      <c r="B182" s="2"/>
      <c r="C182" s="2"/>
      <c r="D182" s="2"/>
    </row>
    <row r="183" spans="2:4" x14ac:dyDescent="0.25">
      <c r="B183" s="2"/>
      <c r="C183" s="2"/>
      <c r="D183" s="2"/>
    </row>
    <row r="184" spans="2:4" x14ac:dyDescent="0.25">
      <c r="B184" s="2"/>
      <c r="C184" s="2"/>
      <c r="D184" s="2"/>
    </row>
    <row r="185" spans="2:4" x14ac:dyDescent="0.25">
      <c r="B185" s="2"/>
      <c r="C185" s="2"/>
      <c r="D185" s="2"/>
    </row>
    <row r="186" spans="2:4" x14ac:dyDescent="0.25">
      <c r="B186" s="2"/>
      <c r="C186" s="2"/>
      <c r="D186" s="2"/>
    </row>
    <row r="187" spans="2:4" x14ac:dyDescent="0.25">
      <c r="B187" s="2"/>
      <c r="C187" s="2"/>
      <c r="D187" s="2"/>
    </row>
    <row r="188" spans="2:4" x14ac:dyDescent="0.25">
      <c r="B188" s="2"/>
      <c r="C188" s="2"/>
      <c r="D188" s="2"/>
    </row>
    <row r="189" spans="2:4" x14ac:dyDescent="0.25">
      <c r="B189" s="2"/>
      <c r="C189" s="2"/>
      <c r="D189" s="2"/>
    </row>
    <row r="190" spans="2:4" x14ac:dyDescent="0.25">
      <c r="B190" s="2"/>
      <c r="C190" s="2"/>
      <c r="D190" s="2"/>
    </row>
    <row r="191" spans="2:4" x14ac:dyDescent="0.25">
      <c r="B191" s="2"/>
      <c r="C191" s="2"/>
      <c r="D191" s="2"/>
    </row>
    <row r="192" spans="2:4" x14ac:dyDescent="0.25">
      <c r="B192" s="2"/>
      <c r="C192" s="2"/>
      <c r="D192" s="2"/>
    </row>
    <row r="193" spans="2:4" x14ac:dyDescent="0.25">
      <c r="B193" s="2"/>
      <c r="C193" s="2"/>
      <c r="D193" s="2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P17"/>
  <sheetViews>
    <sheetView tabSelected="1" zoomScaleNormal="100" workbookViewId="0">
      <pane ySplit="7" topLeftCell="A8" activePane="bottomLeft" state="frozen"/>
      <selection pane="bottomLeft" activeCell="D15" sqref="D15"/>
    </sheetView>
  </sheetViews>
  <sheetFormatPr baseColWidth="10" defaultRowHeight="15" x14ac:dyDescent="0.25"/>
  <cols>
    <col min="1" max="1" width="8.140625" style="3" bestFit="1" customWidth="1"/>
    <col min="2" max="2" width="4.85546875" style="3" bestFit="1" customWidth="1"/>
    <col min="3" max="3" width="6" style="3" bestFit="1" customWidth="1"/>
    <col min="4" max="4" width="16.42578125" style="3" customWidth="1"/>
    <col min="5" max="5" width="18.5703125" style="3" customWidth="1"/>
    <col min="6" max="6" width="16.42578125" style="3" bestFit="1" customWidth="1"/>
    <col min="7" max="7" width="13.28515625" style="3" customWidth="1"/>
    <col min="8" max="8" width="6.5703125" style="3" customWidth="1"/>
    <col min="9" max="9" width="7.42578125" style="3" customWidth="1"/>
    <col min="10" max="10" width="10.140625" style="3" customWidth="1"/>
    <col min="11" max="11" width="7.42578125" style="3" customWidth="1"/>
  </cols>
  <sheetData>
    <row r="7" spans="1:14" x14ac:dyDescent="0.25">
      <c r="A7" s="3" t="s">
        <v>108</v>
      </c>
      <c r="B7" s="3" t="s">
        <v>62</v>
      </c>
      <c r="C7" s="3" t="s">
        <v>116</v>
      </c>
      <c r="D7" s="3" t="s">
        <v>109</v>
      </c>
      <c r="E7" s="3" t="s">
        <v>110</v>
      </c>
      <c r="F7" s="3" t="s">
        <v>111</v>
      </c>
      <c r="G7" s="3" t="s">
        <v>115</v>
      </c>
      <c r="H7" s="3" t="s">
        <v>112</v>
      </c>
      <c r="I7" s="3" t="s">
        <v>113</v>
      </c>
      <c r="J7" s="3" t="s">
        <v>114</v>
      </c>
      <c r="K7" s="3" t="s">
        <v>102</v>
      </c>
      <c r="L7" s="3" t="s">
        <v>117</v>
      </c>
    </row>
    <row r="8" spans="1:14" x14ac:dyDescent="0.2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107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1" si="0">ABS(I8-H8-J8)</f>
        <v>0.17708333333333304</v>
      </c>
      <c r="L8" s="6"/>
    </row>
    <row r="9" spans="1:14" x14ac:dyDescent="0.2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6"/>
      <c r="N9" s="14"/>
    </row>
    <row r="10" spans="1:14" x14ac:dyDescent="0.2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6"/>
    </row>
    <row r="11" spans="1:14" x14ac:dyDescent="0.2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59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6"/>
      <c r="N11" s="14"/>
    </row>
    <row r="12" spans="1:14" x14ac:dyDescent="0.25">
      <c r="A12" s="7">
        <v>45338</v>
      </c>
      <c r="B12" s="6">
        <f>MONTH(Tableau4[[#This Row],[date]])</f>
        <v>2</v>
      </c>
      <c r="C12" s="6">
        <f>YEAR(Tableau4[[#This Row],[date]])</f>
        <v>2024</v>
      </c>
      <c r="D12" s="3" t="s">
        <v>77</v>
      </c>
      <c r="E12" s="3" t="s">
        <v>119</v>
      </c>
      <c r="F12" s="3" t="s">
        <v>64</v>
      </c>
      <c r="G12" s="3" t="s">
        <v>60</v>
      </c>
      <c r="H12" s="5">
        <v>0</v>
      </c>
      <c r="I12" s="5">
        <v>0</v>
      </c>
      <c r="J12" s="5"/>
      <c r="K12" s="5">
        <f>ABS(I12-H12-J12)</f>
        <v>0</v>
      </c>
      <c r="L12" s="6"/>
    </row>
    <row r="13" spans="1:14" x14ac:dyDescent="0.25">
      <c r="A13" s="7">
        <v>45337</v>
      </c>
      <c r="B13" s="6">
        <f>MONTH(Tableau4[[#This Row],[date]])</f>
        <v>2</v>
      </c>
      <c r="C13" s="6">
        <f>YEAR(Tableau4[[#This Row],[date]])</f>
        <v>2024</v>
      </c>
      <c r="D13" s="3" t="s">
        <v>77</v>
      </c>
      <c r="E13" s="3" t="s">
        <v>119</v>
      </c>
      <c r="F13" s="3" t="s">
        <v>64</v>
      </c>
      <c r="G13" s="3" t="s">
        <v>60</v>
      </c>
      <c r="H13" s="5">
        <v>0</v>
      </c>
      <c r="I13" s="5">
        <v>0</v>
      </c>
      <c r="J13" s="5"/>
      <c r="K13" s="5">
        <f>ABS(I13-H13-J13)</f>
        <v>0</v>
      </c>
      <c r="L13" s="6"/>
    </row>
    <row r="14" spans="1:14" x14ac:dyDescent="0.25">
      <c r="A14" s="7">
        <v>45000</v>
      </c>
      <c r="B14" s="6">
        <f>MONTH(Tableau4[[#This Row],[date]])</f>
        <v>3</v>
      </c>
      <c r="C14" s="6">
        <f>YEAR(Tableau4[[#This Row],[date]])</f>
        <v>2023</v>
      </c>
      <c r="D14" s="3" t="s">
        <v>77</v>
      </c>
      <c r="E14" s="3" t="s">
        <v>119</v>
      </c>
      <c r="F14" s="3" t="s">
        <v>64</v>
      </c>
      <c r="G14" s="3" t="s">
        <v>60</v>
      </c>
      <c r="H14" s="5">
        <v>0</v>
      </c>
      <c r="I14" s="5">
        <v>0</v>
      </c>
      <c r="J14" s="5"/>
      <c r="K14" s="5">
        <f>ABS(I14-H14-J14)</f>
        <v>0</v>
      </c>
      <c r="L14" s="6"/>
    </row>
    <row r="15" spans="1:14" x14ac:dyDescent="0.25">
      <c r="A15" s="7">
        <v>46037</v>
      </c>
      <c r="B15" s="6">
        <f>MONTH(Tableau4[[#This Row],[date]])</f>
        <v>1</v>
      </c>
      <c r="C15" s="6">
        <f>YEAR(Tableau4[[#This Row],[date]])</f>
        <v>2026</v>
      </c>
      <c r="D15" s="3" t="s">
        <v>77</v>
      </c>
      <c r="E15" s="3" t="s">
        <v>119</v>
      </c>
      <c r="F15" s="3" t="s">
        <v>64</v>
      </c>
      <c r="G15" s="3" t="s">
        <v>60</v>
      </c>
      <c r="H15" s="5">
        <v>0</v>
      </c>
      <c r="I15" s="5">
        <v>0</v>
      </c>
      <c r="J15" s="5"/>
      <c r="K15" s="5">
        <f>ABS(I15-H15-J15)</f>
        <v>0</v>
      </c>
      <c r="L15" s="6"/>
    </row>
    <row r="16" spans="1:14" x14ac:dyDescent="0.25">
      <c r="A16" s="7">
        <v>45338</v>
      </c>
      <c r="B16" s="6">
        <f>MONTH(Tableau4[[#This Row],[date]])</f>
        <v>2</v>
      </c>
      <c r="C16" s="6">
        <f>YEAR(Tableau4[[#This Row],[date]])</f>
        <v>2024</v>
      </c>
      <c r="D16" s="3" t="s">
        <v>77</v>
      </c>
      <c r="E16" s="3" t="s">
        <v>119</v>
      </c>
      <c r="F16" s="3" t="s">
        <v>64</v>
      </c>
      <c r="G16" s="3" t="s">
        <v>60</v>
      </c>
      <c r="H16" s="5">
        <v>0.625</v>
      </c>
      <c r="I16" s="5">
        <v>0.75</v>
      </c>
      <c r="J16" s="5"/>
      <c r="K16" s="5">
        <f>ABS(I16-H16-J16)</f>
        <v>0.125</v>
      </c>
      <c r="L16" s="6"/>
    </row>
    <row r="17" spans="1:16" x14ac:dyDescent="0.25">
      <c r="A17" s="7">
        <v>45343</v>
      </c>
      <c r="B17" s="6">
        <f>MONTH(Tableau4[[#This Row],[date]])</f>
        <v>2</v>
      </c>
      <c r="C17" s="6">
        <f>YEAR(Tableau4[[#This Row],[date]])</f>
        <v>2024</v>
      </c>
      <c r="D17" s="3" t="s">
        <v>80</v>
      </c>
      <c r="E17" s="3" t="s">
        <v>23</v>
      </c>
      <c r="F17" s="3" t="s">
        <v>64</v>
      </c>
      <c r="G17" s="3" t="s">
        <v>60</v>
      </c>
      <c r="H17" s="5">
        <v>0.625</v>
      </c>
      <c r="I17" s="5">
        <v>0.875</v>
      </c>
      <c r="J17" s="5"/>
      <c r="K17" s="5">
        <f>ABS(I17-H17-J17)</f>
        <v>0.25</v>
      </c>
      <c r="L17" s="6"/>
      <c r="P17" s="15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H8:I17</xm:sqref>
        </x14:dataValidation>
        <x14:dataValidation type="list" allowBlank="1" showInputMessage="1" showErrorMessage="1" xr:uid="{04C2F9EC-D51C-483F-9A19-BEFB5A467727}">
          <x14:formula1>
            <xm:f>events!$A$2:$A$5</xm:f>
          </x14:formula1>
          <xm:sqref>D8:D17</xm:sqref>
        </x14:dataValidation>
        <x14:dataValidation type="list" allowBlank="1" showInputMessage="1" showErrorMessage="1" xr:uid="{CEB5FBCD-7B0B-429D-8FFD-660F9D3B0CC7}">
          <x14:formula1>
            <xm:f>professions!$A$2:$A$8</xm:f>
          </x14:formula1>
          <xm:sqref>F8:F17</xm:sqref>
        </x14:dataValidation>
        <x14:dataValidation type="list" allowBlank="1" showInputMessage="1" showErrorMessage="1" xr:uid="{DB215207-2E62-463F-85CE-0C03F19D62DD}">
          <x14:formula1>
            <xm:f>salaries!$A$2:$A$7</xm:f>
          </x14:formula1>
          <xm:sqref>E8:E17</xm:sqref>
        </x14:dataValidation>
        <x14:dataValidation type="list" allowBlank="1" showInputMessage="1" showErrorMessage="1" xr:uid="{B2B77F4A-9794-40A6-A3F1-2678A96FAE7B}">
          <x14:formula1>
            <xm:f>taches!$A$2:$A$11</xm:f>
          </x14:formula1>
          <xm:sqref>G8:G17</xm:sqref>
        </x14:dataValidation>
        <x14:dataValidation type="list" allowBlank="1" showInputMessage="1" showErrorMessage="1" xr:uid="{1FC6FD4B-199F-47BE-AF35-2EC9167580E6}">
          <x14:formula1>
            <xm:f>listes!$D$3:$D$7</xm:f>
          </x14:formula1>
          <xm:sqref>J8:J17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L13"/>
  <sheetViews>
    <sheetView workbookViewId="0">
      <pane ySplit="1" topLeftCell="A2" activePane="bottomLeft" state="frozen"/>
      <selection pane="bottomLeft" activeCell="D20" sqref="D20"/>
    </sheetView>
  </sheetViews>
  <sheetFormatPr baseColWidth="10" defaultRowHeight="15" x14ac:dyDescent="0.25"/>
  <cols>
    <col min="1" max="1" width="13.5703125" style="3" customWidth="1"/>
    <col min="2" max="2" width="9.42578125" style="7" customWidth="1"/>
    <col min="3" max="3" width="13.5703125" style="3" customWidth="1"/>
    <col min="4" max="12" width="10.85546875" style="3"/>
  </cols>
  <sheetData>
    <row r="1" spans="1:3" x14ac:dyDescent="0.25">
      <c r="A1" s="3" t="s">
        <v>137</v>
      </c>
      <c r="B1" s="7" t="s">
        <v>108</v>
      </c>
      <c r="C1" s="3" t="s">
        <v>138</v>
      </c>
    </row>
    <row r="2" spans="1:3" x14ac:dyDescent="0.25">
      <c r="A2" s="3" t="s">
        <v>77</v>
      </c>
      <c r="B2" s="7">
        <v>45334</v>
      </c>
      <c r="C2" s="5">
        <v>0.83333333333333337</v>
      </c>
    </row>
    <row r="3" spans="1:3" x14ac:dyDescent="0.25">
      <c r="A3" s="3" t="s">
        <v>77</v>
      </c>
      <c r="B3" s="7">
        <v>45335</v>
      </c>
      <c r="C3" s="5">
        <v>0.58333333333333337</v>
      </c>
    </row>
    <row r="4" spans="1:3" x14ac:dyDescent="0.25">
      <c r="A4" s="3" t="s">
        <v>77</v>
      </c>
      <c r="B4" s="7">
        <v>45336</v>
      </c>
      <c r="C4" s="5">
        <v>0.625</v>
      </c>
    </row>
    <row r="5" spans="1:3" x14ac:dyDescent="0.25">
      <c r="A5" s="3" t="s">
        <v>77</v>
      </c>
      <c r="B5" s="7">
        <v>45337</v>
      </c>
      <c r="C5" s="5">
        <v>0.625</v>
      </c>
    </row>
    <row r="6" spans="1:3" x14ac:dyDescent="0.25">
      <c r="A6" s="3" t="s">
        <v>79</v>
      </c>
      <c r="B6" s="7">
        <v>45336</v>
      </c>
      <c r="C6" s="5">
        <v>0.625</v>
      </c>
    </row>
    <row r="7" spans="1:3" x14ac:dyDescent="0.25">
      <c r="A7" s="3" t="s">
        <v>77</v>
      </c>
      <c r="B7" s="7">
        <v>45337</v>
      </c>
      <c r="C7" s="5">
        <v>0.625</v>
      </c>
    </row>
    <row r="8" spans="1:3" x14ac:dyDescent="0.25">
      <c r="A8" s="3" t="s">
        <v>77</v>
      </c>
      <c r="B8" s="7">
        <v>45339</v>
      </c>
      <c r="C8" s="5">
        <v>0.625</v>
      </c>
    </row>
    <row r="9" spans="1:3" x14ac:dyDescent="0.25">
      <c r="A9" s="3" t="s">
        <v>77</v>
      </c>
      <c r="B9" s="7">
        <v>45340</v>
      </c>
      <c r="C9" s="5">
        <v>0.625</v>
      </c>
    </row>
    <row r="10" spans="1:3" x14ac:dyDescent="0.25">
      <c r="A10" s="3" t="s">
        <v>77</v>
      </c>
      <c r="B10" s="7">
        <v>45346</v>
      </c>
      <c r="C10" s="5">
        <v>0.625</v>
      </c>
    </row>
    <row r="11" spans="1:3" x14ac:dyDescent="0.25">
      <c r="A11" s="3" t="s">
        <v>77</v>
      </c>
      <c r="B11" s="7">
        <v>45347</v>
      </c>
      <c r="C11" s="5">
        <v>0.625</v>
      </c>
    </row>
    <row r="12" spans="1:3" x14ac:dyDescent="0.25">
      <c r="A12" s="3" t="s">
        <v>80</v>
      </c>
      <c r="B12" s="7">
        <v>45342</v>
      </c>
      <c r="C12" s="5">
        <v>0.625</v>
      </c>
    </row>
    <row r="13" spans="1:3" x14ac:dyDescent="0.25">
      <c r="A13" s="3" t="s">
        <v>80</v>
      </c>
      <c r="B13" s="7">
        <v>45343</v>
      </c>
      <c r="C13" s="5">
        <v>0.625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A967B-EDA9-4519-BB08-5A203CEA7E28}">
          <x14:formula1>
            <xm:f>events!$A$2:$A$5</xm:f>
          </x14:formula1>
          <xm:sqref>A2:A13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taches</vt:lpstr>
      <vt:lpstr>events</vt:lpstr>
      <vt:lpstr>salaries</vt:lpstr>
      <vt:lpstr>professions</vt:lpstr>
      <vt:lpstr>analytiques</vt:lpstr>
      <vt:lpstr>listes</vt:lpstr>
      <vt:lpstr>planning</vt:lpstr>
      <vt:lpstr>programmation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2024-02-16T09:06:41Z</dcterms:modified>
</cp:coreProperties>
</file>